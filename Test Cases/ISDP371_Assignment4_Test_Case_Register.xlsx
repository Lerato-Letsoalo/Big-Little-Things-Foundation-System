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F1EE58B82A0918E/Documents/"/>
    </mc:Choice>
  </mc:AlternateContent>
  <xr:revisionPtr revIDLastSave="122" documentId="8_{C685295C-EBB8-4EB7-9C60-6E8A1104FEB5}" xr6:coauthVersionLast="47" xr6:coauthVersionMax="47" xr10:uidLastSave="{73751450-5B39-426E-9BA5-5B7302BB19B7}"/>
  <bookViews>
    <workbookView xWindow="-108" yWindow="-108" windowWidth="23256" windowHeight="12456" tabRatio="500" firstSheet="2" activeTab="4" xr2:uid="{00000000-000D-0000-FFFF-FFFF00000000}"/>
  </bookViews>
  <sheets>
    <sheet name="Instructions" sheetId="1" r:id="rId1"/>
    <sheet name="Results Summary" sheetId="2" r:id="rId2"/>
    <sheet name="Iteration 1 Unit" sheetId="3" r:id="rId3"/>
    <sheet name="Iteration 1 Usability" sheetId="4" r:id="rId4"/>
    <sheet name="Iteration 2 Unit" sheetId="5" r:id="rId5"/>
    <sheet name="Iteration 2 Usability" sheetId="6" r:id="rId6"/>
    <sheet name="Iteration 3 Unit" sheetId="7" r:id="rId7"/>
    <sheet name="Iteration 3 Usability" sheetId="8" r:id="rId8"/>
    <sheet name="System Test - Functionality" sheetId="9" r:id="rId9"/>
    <sheet name="System Test - Performance" sheetId="10" r:id="rId10"/>
    <sheet name="System Test - Usability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3" i="2" l="1"/>
  <c r="D13" i="2"/>
  <c r="C13" i="2"/>
  <c r="B13" i="2"/>
  <c r="F13" i="2" s="1"/>
  <c r="E12" i="2"/>
  <c r="D12" i="2"/>
  <c r="C12" i="2"/>
  <c r="F12" i="2" s="1"/>
  <c r="B12" i="2"/>
  <c r="E11" i="2"/>
  <c r="D11" i="2"/>
  <c r="C11" i="2"/>
  <c r="F11" i="2" s="1"/>
  <c r="B11" i="2"/>
  <c r="E10" i="2"/>
  <c r="D10" i="2"/>
  <c r="C10" i="2"/>
  <c r="F10" i="2" s="1"/>
  <c r="B10" i="2"/>
  <c r="E9" i="2"/>
  <c r="D9" i="2"/>
  <c r="C9" i="2"/>
  <c r="F9" i="2" s="1"/>
  <c r="B9" i="2"/>
  <c r="F8" i="2"/>
  <c r="E8" i="2"/>
  <c r="D8" i="2"/>
  <c r="C8" i="2"/>
  <c r="B8" i="2"/>
  <c r="E7" i="2"/>
  <c r="D7" i="2"/>
  <c r="C7" i="2"/>
  <c r="B7" i="2"/>
  <c r="F7" i="2" s="1"/>
  <c r="E6" i="2"/>
  <c r="D6" i="2"/>
  <c r="C6" i="2"/>
  <c r="F6" i="2" s="1"/>
  <c r="B6" i="2"/>
  <c r="E5" i="2"/>
  <c r="D5" i="2"/>
  <c r="C5" i="2"/>
  <c r="B5" i="2"/>
  <c r="C14" i="2" l="1"/>
  <c r="F14" i="2" s="1"/>
  <c r="D14" i="2"/>
  <c r="E14" i="2"/>
  <c r="B14" i="2"/>
  <c r="F5" i="2"/>
</calcChain>
</file>

<file path=xl/sharedStrings.xml><?xml version="1.0" encoding="utf-8"?>
<sst xmlns="http://schemas.openxmlformats.org/spreadsheetml/2006/main" count="577" uniqueCount="286">
  <si>
    <t>ISDP371 – Assignment 4: Test Case Register</t>
  </si>
  <si>
    <t>Digital Innovators – Big Little Things Foundation Volunteer and Donations Management System</t>
  </si>
  <si>
    <t>How to use this workbook:</t>
  </si>
  <si>
    <t>1. This workbook contains one sheet per test type, matching the Test Plan (T1–T7): 'Iteration 1 Unit', 'Iteration 1 Usability', 'Iteration 2 Unit', 'Iteration 2 Usability', 'Iteration 3 Unit', 'Iteration 3 Usability', and three System Test sheets ('System Test - Functionality', 'System Test - Performance', 'System Test - Usability').</t>
  </si>
  <si>
    <t>4. Fill in the yellow 'to complete' columns after testing: Actual Result, Pass/Fail, Tested By, Date Tested and Comments. The Result column has a dropdown (Pass / Fail / Not Tested).</t>
  </si>
  <si>
    <t>6. Keep this file in the project GitHub repository (e.g. /testing/) so results are version-controlled alongside the code.</t>
  </si>
  <si>
    <t>Overall Test Results Summary</t>
  </si>
  <si>
    <t>Auto-fill after each sheet is completed</t>
  </si>
  <si>
    <t>Test sheet</t>
  </si>
  <si>
    <t>Total cases</t>
  </si>
  <si>
    <t>Passed</t>
  </si>
  <si>
    <t>Failed</t>
  </si>
  <si>
    <t>Not tested</t>
  </si>
  <si>
    <t>Pass rate</t>
  </si>
  <si>
    <t>Iteration 1 Unit</t>
  </si>
  <si>
    <t>Iteration 1 Usability</t>
  </si>
  <si>
    <t>Iteration 2 Unit</t>
  </si>
  <si>
    <t>Iteration 2 Usability</t>
  </si>
  <si>
    <t>Iteration 3 Unit</t>
  </si>
  <si>
    <t>Iteration 3 Usability</t>
  </si>
  <si>
    <t>System Test - Functionality</t>
  </si>
  <si>
    <t>System Test - Performance</t>
  </si>
  <si>
    <t>System Test - Usability</t>
  </si>
  <si>
    <t>TOTAL</t>
  </si>
  <si>
    <t>Note: totals update automatically from the Result column on each sheet as you fill in Pass/Fail/Not Tested for each test case.</t>
  </si>
  <si>
    <t>Test Case ID</t>
  </si>
  <si>
    <t>Requirement ref. (FR/NFR)</t>
  </si>
  <si>
    <t>Test description</t>
  </si>
  <si>
    <t>Preconditions</t>
  </si>
  <si>
    <t>Test steps</t>
  </si>
  <si>
    <t>Test data</t>
  </si>
  <si>
    <t>Expected result</t>
  </si>
  <si>
    <t>Actual result</t>
  </si>
  <si>
    <t>Result</t>
  </si>
  <si>
    <t>Tested by</t>
  </si>
  <si>
    <t>Date tested</t>
  </si>
  <si>
    <t>Comments / defect ref.</t>
  </si>
  <si>
    <t>T1-UT-01</t>
  </si>
  <si>
    <t>FR1</t>
  </si>
  <si>
    <t>Register with valid volunteer details</t>
  </si>
  <si>
    <t>Registration form is accessible</t>
  </si>
  <si>
    <t>1. Open registration form
2. Enter valid name, email, city, phone
3. Submit form</t>
  </si>
  <si>
    <t>Volunteer account is created and a confirmation is shown</t>
  </si>
  <si>
    <t>T1-UT-02</t>
  </si>
  <si>
    <t>Register with missing required field</t>
  </si>
  <si>
    <t>1. Open registration form
2. Leave email blank
3. Submit form</t>
  </si>
  <si>
    <t>Form displays a validation error and does not submit</t>
  </si>
  <si>
    <t>T1-UT-03</t>
  </si>
  <si>
    <t>Register with invalid email format</t>
  </si>
  <si>
    <t>1. Open registration form
2. Enter 'notanemail' as email
3. Submit form</t>
  </si>
  <si>
    <t>Email: notanemail</t>
  </si>
  <si>
    <t>Form displays an invalid-email validation error</t>
  </si>
  <si>
    <t>T1-UT-04</t>
  </si>
  <si>
    <t>FR2 / NFR1</t>
  </si>
  <si>
    <t>Login with correct credentials</t>
  </si>
  <si>
    <t>Volunteer account already exists</t>
  </si>
  <si>
    <t>1. Open login page
2. Enter registered email and correct password
3. Submit</t>
  </si>
  <si>
    <t>Email: jane@test.com
Password: &lt;valid&gt;</t>
  </si>
  <si>
    <t>User is authenticated and redirected to the volunteer dashboard</t>
  </si>
  <si>
    <t>T1-UT-05</t>
  </si>
  <si>
    <t>Login with incorrect password</t>
  </si>
  <si>
    <t>1. Open login page
2. Enter registered email with wrong password
3. Submit</t>
  </si>
  <si>
    <t>Email: jane@test.com
Password: wrongpass</t>
  </si>
  <si>
    <t>Login is rejected with an appropriate error message; account is not accessed</t>
  </si>
  <si>
    <t>Heuristic (Nielsen)</t>
  </si>
  <si>
    <t>Screen / Task evaluated</t>
  </si>
  <si>
    <t>What was checked</t>
  </si>
  <si>
    <t>Expected outcome</t>
  </si>
  <si>
    <t>Actual observation</t>
  </si>
  <si>
    <t>Comments / issue severity</t>
  </si>
  <si>
    <t>T1-UX-01</t>
  </si>
  <si>
    <t>1. Visibility of system status</t>
  </si>
  <si>
    <t>Public website (Home / About Us / Projects / Volunteer)</t>
  </si>
  <si>
    <t>&lt;what to check for this heuristic — see 'Nielsen Heuristics Checklist' reference&gt;</t>
  </si>
  <si>
    <t>&lt;expected: heuristic is satisfied&gt;</t>
  </si>
  <si>
    <t>T1-UX-02</t>
  </si>
  <si>
    <t>2. Match between system and real world</t>
  </si>
  <si>
    <t>T1-UX-03</t>
  </si>
  <si>
    <t>3. User control and freedom</t>
  </si>
  <si>
    <t>T1-UX-04</t>
  </si>
  <si>
    <t>4. Consistency and standards</t>
  </si>
  <si>
    <t>T1-UX-05</t>
  </si>
  <si>
    <t>5. Error prevention</t>
  </si>
  <si>
    <t>T1-UX-06</t>
  </si>
  <si>
    <t>6. Recognition rather than recall</t>
  </si>
  <si>
    <t>T1-UX-07</t>
  </si>
  <si>
    <t>7. Flexibility and efficiency of use</t>
  </si>
  <si>
    <t>T1-UX-08</t>
  </si>
  <si>
    <t>8. Aesthetic and minimalist design</t>
  </si>
  <si>
    <t>T1-UX-09</t>
  </si>
  <si>
    <t>9. Help users recognise, diagnose and recover from errors</t>
  </si>
  <si>
    <t>T1-UX-10</t>
  </si>
  <si>
    <t>10. Help and documentation</t>
  </si>
  <si>
    <t>T2-UT-01</t>
  </si>
  <si>
    <t>FR4</t>
  </si>
  <si>
    <t>Log hours for an attended event</t>
  </si>
  <si>
    <t>Volunteer is logged in and registered for an event</t>
  </si>
  <si>
    <t>1. Open 'Log Hours'
2. Select event
3. Enter hours
4. Submit</t>
  </si>
  <si>
    <t>Event: Community Food Drive
Hours: 3</t>
  </si>
  <si>
    <t>Hours are saved with status 'Pending' and admin is notified</t>
  </si>
  <si>
    <t>T2-UT-02</t>
  </si>
  <si>
    <t>Log hours with an invalid (negative) value</t>
  </si>
  <si>
    <t>Volunteer is logged in</t>
  </si>
  <si>
    <t>1. Open 'Log Hours'
2. Enter -2 as hours
3. Submit</t>
  </si>
  <si>
    <t>Hours: -2</t>
  </si>
  <si>
    <t>Form rejects the entry with a validation error</t>
  </si>
  <si>
    <t>T2-UT-03</t>
  </si>
  <si>
    <t>FR8</t>
  </si>
  <si>
    <t>Capture a monetary donation</t>
  </si>
  <si>
    <t>Admin/donor is on the donation form</t>
  </si>
  <si>
    <t>1. Select project
2. Enter donation amount and details
3. Submit</t>
  </si>
  <si>
    <t>Amount: R500
Project: Food for Families</t>
  </si>
  <si>
    <t>Donation record is created with status and transaction reference; total updates</t>
  </si>
  <si>
    <t>T2-UT-04</t>
  </si>
  <si>
    <t>Capture a physical donation</t>
  </si>
  <si>
    <t>Admin is logged into admin portal</t>
  </si>
  <si>
    <t>1. Open donations module
2. Select 'Physical'
3. Enter item and quantity
4. Submit</t>
  </si>
  <si>
    <t>Item: Blankets
Qty: 20</t>
  </si>
  <si>
    <t>Physical donation is recorded and reflected in donation totals</t>
  </si>
  <si>
    <t>T2-UT-05</t>
  </si>
  <si>
    <t>FR11</t>
  </si>
  <si>
    <t>Donation total updates within 5 seconds of entry</t>
  </si>
  <si>
    <t>A donation has just been submitted</t>
  </si>
  <si>
    <t>1. Submit a new donation
2. Observe the donation summary/report screen</t>
  </si>
  <si>
    <t>Amount: R250</t>
  </si>
  <si>
    <t>Updated total is reflected on the summary/report within 5 seconds</t>
  </si>
  <si>
    <t>T2-UX-01</t>
  </si>
  <si>
    <t>Volunteer dashboard &amp; donation/payment flow</t>
  </si>
  <si>
    <t>T2-UX-02</t>
  </si>
  <si>
    <t>T2-UX-03</t>
  </si>
  <si>
    <t>T2-UX-04</t>
  </si>
  <si>
    <t>T2-UX-05</t>
  </si>
  <si>
    <t>T2-UX-06</t>
  </si>
  <si>
    <t>T2-UX-07</t>
  </si>
  <si>
    <t>T2-UX-08</t>
  </si>
  <si>
    <t>T2-UX-09</t>
  </si>
  <si>
    <t>T2-UX-10</t>
  </si>
  <si>
    <t>T3-UT-01</t>
  </si>
  <si>
    <t>FR5</t>
  </si>
  <si>
    <t>Generate certificate after admin approves hours</t>
  </si>
  <si>
    <t>Volunteer has pending hours awaiting approval</t>
  </si>
  <si>
    <t>1. Admin opens pending hours
2. Approves the hours
3. Volunteer opens 'My Certificates'</t>
  </si>
  <si>
    <t>Volunteer: Jane Doe
Hours approved: 3</t>
  </si>
  <si>
    <t>A downloadable certificate with correct name, hours and date is available</t>
  </si>
  <si>
    <t>T3-UT-02</t>
  </si>
  <si>
    <t>Certificate is not generated for rejected hours</t>
  </si>
  <si>
    <t>1. Admin rejects the submitted hours with a reason
2. Volunteer checks certificates list</t>
  </si>
  <si>
    <t>Hours rejected with reason 'Insufficient evidence'</t>
  </si>
  <si>
    <t>No certificate is generated; volunteer is notified of the rejection and reason</t>
  </si>
  <si>
    <t>T3-UT-03</t>
  </si>
  <si>
    <t>FR10</t>
  </si>
  <si>
    <t>Volunteer hours report totals are correct per city/project</t>
  </si>
  <si>
    <t>Seeded volunteer hour data exists across cities</t>
  </si>
  <si>
    <t>1. Open admin reporting dashboard
2. Filter by city/project
3. Compare displayed totals to seeded data</t>
  </si>
  <si>
    <t>Seeded total: 42 hours (Pretoria)</t>
  </si>
  <si>
    <t>Dashboard total matches the seeded data exactly</t>
  </si>
  <si>
    <t>T3-UT-04</t>
  </si>
  <si>
    <t>Donation report totals are correct per city/date range</t>
  </si>
  <si>
    <t>Seeded donation data exists</t>
  </si>
  <si>
    <t>1. Open donation report
2. Filter by date range and city
3. Compare totals</t>
  </si>
  <si>
    <t>Seeded total: R12,500 (Sept 2026, Pretoria)</t>
  </si>
  <si>
    <t>Report total matches the seeded data exactly</t>
  </si>
  <si>
    <t>T3-UT-05</t>
  </si>
  <si>
    <t>NFR3</t>
  </si>
  <si>
    <t>Dashboard loads within acceptable time</t>
  </si>
  <si>
    <t>Admin is logged in</t>
  </si>
  <si>
    <t>1. Navigate to admin dashboard
2. Measure load time</t>
  </si>
  <si>
    <t>N/A</t>
  </si>
  <si>
    <t>Dashboard loads within 5 seconds on a standard broadband connection</t>
  </si>
  <si>
    <t>T3-UX-01</t>
  </si>
  <si>
    <t>Admin dashboard (volunteers, donations, approvals)</t>
  </si>
  <si>
    <t>T3-UX-02</t>
  </si>
  <si>
    <t>T3-UX-03</t>
  </si>
  <si>
    <t>T3-UX-04</t>
  </si>
  <si>
    <t>T3-UX-05</t>
  </si>
  <si>
    <t>T3-UX-06</t>
  </si>
  <si>
    <t>T3-UX-07</t>
  </si>
  <si>
    <t>T3-UX-08</t>
  </si>
  <si>
    <t>T3-UX-09</t>
  </si>
  <si>
    <t>T3-UX-10</t>
  </si>
  <si>
    <t>ST-FN-01</t>
  </si>
  <si>
    <t>FR1–FR17</t>
  </si>
  <si>
    <t>End-to-end: public user registers, donates and submits enquiry</t>
  </si>
  <si>
    <t>Public website is live</t>
  </si>
  <si>
    <t>1. Visit public website
2. Register as volunteer
3. Make a donation
4. Submit contact enquiry</t>
  </si>
  <si>
    <t>All three actions complete successfully and are reflected in the admin portal</t>
  </si>
  <si>
    <t>ST-FN-02</t>
  </si>
  <si>
    <t>End-to-end: volunteer logs hours and receives certificate</t>
  </si>
  <si>
    <t>Volunteer account exists</t>
  </si>
  <si>
    <t>1. Log in as volunteer
2. Sign up for a drive
3. Log hours
4. Admin approves
5. Download certificate</t>
  </si>
  <si>
    <t>Certificate is generated and downloadable after admin approval</t>
  </si>
  <si>
    <t>ST-FN-03</t>
  </si>
  <si>
    <t>End-to-end: admin manages content and generates reports</t>
  </si>
  <si>
    <t>Admin account exists</t>
  </si>
  <si>
    <t>1. Log in as admin
2. Create/update a project
3. Upload gallery image
4. Generate a report</t>
  </si>
  <si>
    <t>Content updates are published; report reflects accurate, current data</t>
  </si>
  <si>
    <t>ST-FN-04</t>
  </si>
  <si>
    <t>NFR1</t>
  </si>
  <si>
    <t>Role-based access is enforced across the system</t>
  </si>
  <si>
    <t>Accounts for all 3 roles exist</t>
  </si>
  <si>
    <t>1. Attempt to access admin URLs as a public user
2. Attempt to access admin URLs as a volunteer</t>
  </si>
  <si>
    <t>Access is denied for unauthorised roles in both cases</t>
  </si>
  <si>
    <t>ST-PF-01</t>
  </si>
  <si>
    <t>Public website page load time</t>
  </si>
  <si>
    <t>Standard broadband connection</t>
  </si>
  <si>
    <t>1. Load Home page
2. Load Projects page
3. Measure load time for each</t>
  </si>
  <si>
    <t>Each page loads within 3 seconds</t>
  </si>
  <si>
    <t>ST-PF-02</t>
  </si>
  <si>
    <t>Admin dashboard load time</t>
  </si>
  <si>
    <t>Admin logged in</t>
  </si>
  <si>
    <t>1. Navigate to dashboard
2. Measure load time</t>
  </si>
  <si>
    <t>Dashboard loads within 5 seconds</t>
  </si>
  <si>
    <t>ST-PF-03</t>
  </si>
  <si>
    <t>NFR6</t>
  </si>
  <si>
    <t>System availability during testing window</t>
  </si>
  <si>
    <t>System is deployed</t>
  </si>
  <si>
    <t>1. Access system at random intervals over the testing period
2. Log any downtime</t>
  </si>
  <si>
    <t>At least 99% availability recorded, excluding planned maintenance</t>
  </si>
  <si>
    <t>ST-PF-04</t>
  </si>
  <si>
    <t>URD Goal</t>
  </si>
  <si>
    <t>Donation record updates within 5 seconds</t>
  </si>
  <si>
    <t>Donation form accessible</t>
  </si>
  <si>
    <t>1. Submit a donation
2. Time how long until it appears in reports</t>
  </si>
  <si>
    <t>Record appears in reports within 5 seconds</t>
  </si>
  <si>
    <t>ST-UX-01</t>
  </si>
  <si>
    <t>Full system (public website + volunteer portal + admin portal)</t>
  </si>
  <si>
    <t>ST-UX-02</t>
  </si>
  <si>
    <t>ST-UX-03</t>
  </si>
  <si>
    <t>ST-UX-04</t>
  </si>
  <si>
    <t>ST-UX-05</t>
  </si>
  <si>
    <t>ST-UX-06</t>
  </si>
  <si>
    <t>ST-UX-07</t>
  </si>
  <si>
    <t>ST-UX-08</t>
  </si>
  <si>
    <t>ST-UX-09</t>
  </si>
  <si>
    <t>ST-UX-10</t>
  </si>
  <si>
    <t>2. Each Unit Test and System Test - Functionality/Performance sheet uses a Test Case ID format like T1-UT-01, T2-UT-01, T3-UT-01 or ST-FN-01 / ST-PF-01.</t>
  </si>
  <si>
    <t xml:space="preserve">3. Each Usability sheet is pre-populated with Nielsen's 10 heuristics as the starting test cases (IDs T1-UX-01 to T1-UX-10, etc.) </t>
  </si>
  <si>
    <t>5. Once a sheet is complete, copy the summary counts (total, pass, fail) into the matching sub-section of Section 2 (Test Results) in the Assignment 4 report.</t>
  </si>
  <si>
    <t>Unit Test – Volunteer Registration &amp; Authentication (FR1, FR2, NFR1) | Planned date: 26 Aug 2026 | Tester: Tebogo Mosoma</t>
  </si>
  <si>
    <t>Usability Test – Public Website (Home, About Us, Projects, Volunteer pages) | Planned date: 26 Aug 2026 | Tester: Unathi Masemola</t>
  </si>
  <si>
    <t>Unit Test – Volunteer Hour Logging &amp; Donation Capture (FR4, FR8, FR11) | Planned date: 2 Sept 2026 | Tester: Lerato Letsoalo</t>
  </si>
  <si>
    <t>Usability Test – Volunteer Dashboard &amp; Donation/Payment Flow | Planned date: 2 Sept 2026 | Tester: Benjamin Mulamba</t>
  </si>
  <si>
    <t>Unit Test – Certificate Generation &amp; Reporting Dashboard (FR5, FR10, FR11, NFR3) | Planned date: 9 Sept 2026 | Tester: Benjamin &amp; Tebogo</t>
  </si>
  <si>
    <t>Usability Test – Admin Dashboard | Planned date: 9 Sept 2026 | Tester: Unathi Maesemola</t>
  </si>
  <si>
    <t>System Test – Full Integrated System, Functionality (FR1–FR17) | Planned date: 12 Sept 2026 | Testers: All group members</t>
  </si>
  <si>
    <t>System Test – Full Integrated System, Performance (NFR3, NFR6) | Planned date: 12 Sept 2026 | Testers: All group members</t>
  </si>
  <si>
    <t>System Test – Full Integrated System, Usability (Nielsen heuristics, all portals) | Planned date: 12 Sept 2026 | Testers: All group members</t>
  </si>
  <si>
    <t>Tebogo Mosoma</t>
  </si>
  <si>
    <t xml:space="preserve">Name: Jane Doe
Age range: 19 - 25                                                                                                                                                                                                                                                                                                                                                                                                                                                                                                           Email: jane@test.com
City: Pretoria
Phone: 0821234567                                                                                                                                                                                                                                                                                                                                                                                                                                                                                                                   Skills: Cooking </t>
  </si>
  <si>
    <t>The selection options could be more visually apealing during registration.</t>
  </si>
  <si>
    <t>Volunteer account was created and the confirmation message was shown, the user was taken to their dashboard afterwards.</t>
  </si>
  <si>
    <t xml:space="preserve">Name: John Smith               Age range: 19 - 25
Email: (blank)                  City: Centurion                      Phone: 0636001038              Skills: Social Media            </t>
  </si>
  <si>
    <t>Form display error message "Please enter valid email" and does not submit.</t>
  </si>
  <si>
    <t>Pass</t>
  </si>
  <si>
    <t>Works perfectly.</t>
  </si>
  <si>
    <t>User is authenticated and is automatically redirected to the volunteer dashboard.</t>
  </si>
  <si>
    <t>User authentication works perfectly with no problems.</t>
  </si>
  <si>
    <t>Login is rejected with an appropriate error message is shown and user is denied access.</t>
  </si>
  <si>
    <t>Password validation works perfectly.</t>
  </si>
  <si>
    <t>A "Thank you" message appears after a donation has been made and the system gives feedback when the user registers or signs up.</t>
  </si>
  <si>
    <t>Unathi Masemola</t>
  </si>
  <si>
    <t>.The user receives necessary feedback on actions.</t>
  </si>
  <si>
    <t>The system uses natural language, easy for users to understand.</t>
  </si>
  <si>
    <t>.Users can undo or leave an unwanted state, but a sign out option must be included.</t>
  </si>
  <si>
    <t>Layout of the system is kept consistent throughout.</t>
  </si>
  <si>
    <t>Low severity, the system has to include a delete or log out option for signed in users.</t>
  </si>
  <si>
    <t>The information on the dashboard minimises the user's memory load.</t>
  </si>
  <si>
    <t>The admin dashboard could implement filtering of danations by city and date within a single click.</t>
  </si>
  <si>
    <t>The pages contain relevant and clear information in a clean layout.</t>
  </si>
  <si>
    <t>Error messages are expressed in natural language.</t>
  </si>
  <si>
    <t>Help is fairly easy to find with contact support.</t>
  </si>
  <si>
    <t>All buttons and labels use familiar non-techincal language like "Volunteer With Us" and "Donate Now".</t>
  </si>
  <si>
    <t>The system enables the volunteers to edit their login hours and cancel a donation but they isn't a sign out as a volunteer option.</t>
  </si>
  <si>
    <t>The navigation menu remains in the same position on all pages and the busttons are usually red or black and the layout matches standard we conventions.</t>
  </si>
  <si>
    <t>The registration confirmation prevented submission when the email field was empty, with a message "email is required", but the delete option is not available.</t>
  </si>
  <si>
    <t>The volunteer dashboard shows the total hours volunteered so the user doesn't have to calculate it, the admin dashboard shows recent donations and requests that need to be approved.</t>
  </si>
  <si>
    <t>The system does not currently have much bulk actions for frequent tasks, but donation amounts don't need to be typed out, a sinlge click on a certain amount is an option.</t>
  </si>
  <si>
    <t>The dashboard displays clean metrics in a clean layout and the pages contail only necessary information like "email" and "passwor" fields in the Sign in page.</t>
  </si>
  <si>
    <t>The system informs the user of any invalid imputs for example the email would say "incorrect email or password"</t>
  </si>
  <si>
    <t>The FAQ page was easily accessible with answers to the most common questions, it also has a contact us form where users can communicate with the foundation through the website in also includes emails and the name of the owners.</t>
  </si>
  <si>
    <t>Partial</t>
  </si>
  <si>
    <t>26/08/2026</t>
  </si>
  <si>
    <t>What to check for this heuristic: see 'Nielsen Heuristics Checklist' reference</t>
  </si>
  <si>
    <t>What to check for this heuristic:  see 'Nielsen Heuristics Checklist' reference</t>
  </si>
  <si>
    <t>What to check for this heuristic:   see 'Nielsen Heuristics Checklist' reference</t>
  </si>
  <si>
    <t>Expected: heuristic is satisfied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</si>
</sst>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6"/>
      <color rgb="FF4F6228"/>
      <name val="Arial"/>
      <charset val="1"/>
    </font>
    <font>
      <i/>
      <sz val="10"/>
      <color rgb="FF595959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4"/>
      <color rgb="FF4F6228"/>
      <name val="Arial"/>
      <charset val="1"/>
    </font>
    <font>
      <b/>
      <sz val="10"/>
      <color rgb="FFFFFFFF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4F6228"/>
        <bgColor rgb="FF595959"/>
      </patternFill>
    </fill>
    <fill>
      <patternFill patternType="solid">
        <fgColor rgb="FFD6E4B4"/>
        <bgColor rgb="FFFFF2CC"/>
      </patternFill>
    </fill>
    <fill>
      <patternFill patternType="solid">
        <fgColor rgb="FFFFF2CC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3" fillId="0" borderId="1" xfId="0" applyFont="1" applyBorder="1" applyAlignment="1">
      <alignment horizontal="center"/>
    </xf>
    <xf numFmtId="9" fontId="3" fillId="0" borderId="1" xfId="0" applyNumberFormat="1" applyFont="1" applyBorder="1" applyAlignment="1">
      <alignment horizontal="center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center"/>
    </xf>
    <xf numFmtId="9" fontId="4" fillId="3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top" wrapText="1"/>
    </xf>
    <xf numFmtId="0" fontId="0" fillId="0" borderId="1" xfId="0" applyBorder="1"/>
    <xf numFmtId="0" fontId="3" fillId="5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left" vertical="top" wrapText="1"/>
    </xf>
    <xf numFmtId="15" fontId="3" fillId="5" borderId="1" xfId="0" applyNumberFormat="1" applyFont="1" applyFill="1" applyBorder="1" applyAlignment="1">
      <alignment horizontal="center" vertical="top" wrapText="1"/>
    </xf>
    <xf numFmtId="14" fontId="3" fillId="5" borderId="1" xfId="0" applyNumberFormat="1" applyFont="1" applyFill="1" applyBorder="1" applyAlignment="1">
      <alignment horizontal="left" vertical="top" wrapText="1"/>
    </xf>
    <xf numFmtId="0" fontId="0" fillId="5" borderId="1" xfId="0" applyFill="1" applyBorder="1"/>
    <xf numFmtId="0" fontId="0" fillId="6" borderId="0" xfId="0" applyFill="1"/>
    <xf numFmtId="0" fontId="5" fillId="0" borderId="0" xfId="0" applyFont="1"/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4F6228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E4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showGridLines="0" zoomScaleNormal="100" workbookViewId="0">
      <selection activeCell="A10" sqref="A10:B10"/>
    </sheetView>
  </sheetViews>
  <sheetFormatPr defaultColWidth="8.6640625" defaultRowHeight="14.4" x14ac:dyDescent="0.3"/>
  <cols>
    <col min="1" max="1" width="3" customWidth="1"/>
    <col min="2" max="2" width="100" customWidth="1"/>
  </cols>
  <sheetData>
    <row r="1" spans="1:2" ht="21" x14ac:dyDescent="0.4">
      <c r="A1" s="21" t="s">
        <v>0</v>
      </c>
      <c r="B1" s="21"/>
    </row>
    <row r="2" spans="1:2" x14ac:dyDescent="0.3">
      <c r="A2" s="20" t="s">
        <v>1</v>
      </c>
      <c r="B2" s="20"/>
    </row>
    <row r="4" spans="1:2" ht="9.75" customHeight="1" x14ac:dyDescent="0.3">
      <c r="A4" s="22"/>
      <c r="B4" s="22"/>
    </row>
    <row r="5" spans="1:2" ht="30" customHeight="1" x14ac:dyDescent="0.3">
      <c r="A5" s="23" t="s">
        <v>2</v>
      </c>
      <c r="B5" s="23"/>
    </row>
    <row r="6" spans="1:2" ht="30" customHeight="1" x14ac:dyDescent="0.3">
      <c r="A6" s="22" t="s">
        <v>3</v>
      </c>
      <c r="B6" s="22"/>
    </row>
    <row r="7" spans="1:2" ht="30" customHeight="1" x14ac:dyDescent="0.3">
      <c r="A7" s="22" t="s">
        <v>235</v>
      </c>
      <c r="B7" s="22"/>
    </row>
    <row r="8" spans="1:2" ht="30" customHeight="1" x14ac:dyDescent="0.3">
      <c r="A8" s="22" t="s">
        <v>236</v>
      </c>
      <c r="B8" s="22"/>
    </row>
    <row r="9" spans="1:2" ht="30" customHeight="1" x14ac:dyDescent="0.3">
      <c r="A9" s="22" t="s">
        <v>4</v>
      </c>
      <c r="B9" s="22"/>
    </row>
    <row r="10" spans="1:2" ht="30" customHeight="1" x14ac:dyDescent="0.3">
      <c r="A10" s="22" t="s">
        <v>237</v>
      </c>
      <c r="B10" s="22"/>
    </row>
    <row r="11" spans="1:2" ht="30" customHeight="1" x14ac:dyDescent="0.3">
      <c r="A11" s="22" t="s">
        <v>5</v>
      </c>
      <c r="B11" s="22"/>
    </row>
  </sheetData>
  <mergeCells count="10">
    <mergeCell ref="A7:B7"/>
    <mergeCell ref="A8:B8"/>
    <mergeCell ref="A9:B9"/>
    <mergeCell ref="A10:B10"/>
    <mergeCell ref="A11:B11"/>
    <mergeCell ref="A1:B1"/>
    <mergeCell ref="A2:B2"/>
    <mergeCell ref="A4:B4"/>
    <mergeCell ref="A5:B5"/>
    <mergeCell ref="A6:B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showGridLines="0" zoomScaleNormal="100" workbookViewId="0">
      <selection activeCell="C5" sqref="C5"/>
    </sheetView>
  </sheetViews>
  <sheetFormatPr defaultColWidth="8.6640625" defaultRowHeight="14.4" x14ac:dyDescent="0.3"/>
  <cols>
    <col min="1" max="1" width="26" customWidth="1"/>
    <col min="2" max="2" width="12" customWidth="1"/>
    <col min="3" max="4" width="10" customWidth="1"/>
    <col min="5" max="6" width="12" customWidth="1"/>
  </cols>
  <sheetData>
    <row r="1" spans="1:6" ht="17.399999999999999" x14ac:dyDescent="0.3">
      <c r="A1" s="19" t="s">
        <v>6</v>
      </c>
      <c r="B1" s="19"/>
      <c r="C1" s="19"/>
      <c r="D1" s="19"/>
      <c r="E1" s="19"/>
      <c r="F1" s="19"/>
    </row>
    <row r="2" spans="1:6" x14ac:dyDescent="0.3">
      <c r="A2" s="20" t="s">
        <v>7</v>
      </c>
      <c r="B2" s="20"/>
      <c r="C2" s="20"/>
      <c r="D2" s="20"/>
      <c r="E2" s="20"/>
      <c r="F2" s="20"/>
    </row>
    <row r="4" spans="1:6" ht="30" customHeight="1" x14ac:dyDescent="0.3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1" t="s">
        <v>13</v>
      </c>
    </row>
    <row r="5" spans="1:6" x14ac:dyDescent="0.3">
      <c r="A5" s="2" t="s">
        <v>14</v>
      </c>
      <c r="B5" s="3">
        <f>COUNTIF('Iteration 1 Unit'!A5:A15,"?*")</f>
        <v>5</v>
      </c>
      <c r="C5" s="3">
        <f>COUNTIF('Iteration 1 Unit'!I5:I15,"Pass")</f>
        <v>5</v>
      </c>
      <c r="D5" s="3">
        <f>COUNTIF('Iteration 1 Unit'!I5:I15,"Fail")</f>
        <v>0</v>
      </c>
      <c r="E5" s="3">
        <f>COUNTIF('Iteration 1 Unit'!I5:I15,"Not Tested")+COUNTIF('Iteration 1 Unit'!I5:I15,"Partial")</f>
        <v>0</v>
      </c>
      <c r="F5" s="4">
        <f t="shared" ref="F5:F14" si="0">IFERROR(C5/B5,"")</f>
        <v>1</v>
      </c>
    </row>
    <row r="6" spans="1:6" x14ac:dyDescent="0.3">
      <c r="A6" s="2" t="s">
        <v>15</v>
      </c>
      <c r="B6" s="3">
        <f>COUNTIF('Iteration 1 Usability'!A5:A14,"?*")</f>
        <v>10</v>
      </c>
      <c r="C6" s="3">
        <f>COUNTIF('Iteration 1 Usability'!G5:G14,"Pass")</f>
        <v>7</v>
      </c>
      <c r="D6" s="3">
        <f>COUNTIF('Iteration 1 Usability'!G5:G14,"Fail")</f>
        <v>0</v>
      </c>
      <c r="E6" s="3">
        <f>COUNTIF('Iteration 1 Usability'!G5:G14,"Not Tested")+COUNTIF('Iteration 1 Usability'!G5:G14,"Partial")</f>
        <v>3</v>
      </c>
      <c r="F6" s="4">
        <f t="shared" si="0"/>
        <v>0.7</v>
      </c>
    </row>
    <row r="7" spans="1:6" x14ac:dyDescent="0.3">
      <c r="A7" s="2" t="s">
        <v>16</v>
      </c>
      <c r="B7" s="3">
        <f>COUNTIF('Iteration 2 Unit'!A5:A15,"?*")</f>
        <v>5</v>
      </c>
      <c r="C7" s="3">
        <f>COUNTIF('Iteration 2 Unit'!I5:I15,"Pass")</f>
        <v>0</v>
      </c>
      <c r="D7" s="3">
        <f>COUNTIF('Iteration 2 Unit'!I5:I15,"Fail")</f>
        <v>0</v>
      </c>
      <c r="E7" s="3">
        <f>COUNTIF('Iteration 2 Unit'!I5:I15,"Not Tested")+COUNTIF('Iteration 2 Unit'!I5:I15,"Partial")</f>
        <v>0</v>
      </c>
      <c r="F7" s="4">
        <f t="shared" si="0"/>
        <v>0</v>
      </c>
    </row>
    <row r="8" spans="1:6" x14ac:dyDescent="0.3">
      <c r="A8" s="2" t="s">
        <v>17</v>
      </c>
      <c r="B8" s="3">
        <f>COUNTIF('Iteration 2 Usability'!A5:A14,"?*")</f>
        <v>10</v>
      </c>
      <c r="C8" s="3">
        <f>COUNTIF('Iteration 2 Usability'!G5:G14,"Pass")</f>
        <v>0</v>
      </c>
      <c r="D8" s="3">
        <f>COUNTIF('Iteration 2 Usability'!G5:G14,"Fail")</f>
        <v>0</v>
      </c>
      <c r="E8" s="3">
        <f>COUNTIF('Iteration 2 Usability'!G5:G14,"Not Tested")+COUNTIF('Iteration 2 Usability'!G5:G14,"Partial")</f>
        <v>0</v>
      </c>
      <c r="F8" s="4">
        <f t="shared" si="0"/>
        <v>0</v>
      </c>
    </row>
    <row r="9" spans="1:6" x14ac:dyDescent="0.3">
      <c r="A9" s="2" t="s">
        <v>18</v>
      </c>
      <c r="B9" s="3">
        <f>COUNTIF('Iteration 3 Unit'!A5:A15,"?*")</f>
        <v>5</v>
      </c>
      <c r="C9" s="3">
        <f>COUNTIF('Iteration 3 Unit'!I5:I15,"Pass")</f>
        <v>0</v>
      </c>
      <c r="D9" s="3">
        <f>COUNTIF('Iteration 3 Unit'!I5:I15,"Fail")</f>
        <v>0</v>
      </c>
      <c r="E9" s="3">
        <f>COUNTIF('Iteration 3 Unit'!I5:I15,"Not Tested")+COUNTIF('Iteration 3 Unit'!I5:I15,"Partial")</f>
        <v>0</v>
      </c>
      <c r="F9" s="4">
        <f t="shared" si="0"/>
        <v>0</v>
      </c>
    </row>
    <row r="10" spans="1:6" x14ac:dyDescent="0.3">
      <c r="A10" s="2" t="s">
        <v>19</v>
      </c>
      <c r="B10" s="3">
        <f>COUNTIF('Iteration 3 Usability'!A5:A14,"?*")</f>
        <v>10</v>
      </c>
      <c r="C10" s="3">
        <f>COUNTIF('Iteration 3 Usability'!G5:G14,"Pass")</f>
        <v>0</v>
      </c>
      <c r="D10" s="3">
        <f>COUNTIF('Iteration 3 Usability'!G5:G14,"Fail")</f>
        <v>0</v>
      </c>
      <c r="E10" s="3">
        <f>COUNTIF('Iteration 3 Usability'!G5:G14,"Not Tested")+COUNTIF('Iteration 3 Usability'!G5:G14,"Partial")</f>
        <v>0</v>
      </c>
      <c r="F10" s="4">
        <f t="shared" si="0"/>
        <v>0</v>
      </c>
    </row>
    <row r="11" spans="1:6" x14ac:dyDescent="0.3">
      <c r="A11" s="2" t="s">
        <v>20</v>
      </c>
      <c r="B11" s="3">
        <f>COUNTIF('System Test - Functionality'!A5:A14,"?*")</f>
        <v>4</v>
      </c>
      <c r="C11" s="3">
        <f>COUNTIF('System Test - Functionality'!I5:I14,"Pass")</f>
        <v>0</v>
      </c>
      <c r="D11" s="3">
        <f>COUNTIF('System Test - Functionality'!I5:I14,"Fail")</f>
        <v>0</v>
      </c>
      <c r="E11" s="3">
        <f>COUNTIF('System Test - Functionality'!I5:I14,"Not Tested")+COUNTIF('System Test - Functionality'!I5:I14,"Partial")</f>
        <v>0</v>
      </c>
      <c r="F11" s="4">
        <f t="shared" si="0"/>
        <v>0</v>
      </c>
    </row>
    <row r="12" spans="1:6" x14ac:dyDescent="0.3">
      <c r="A12" s="2" t="s">
        <v>21</v>
      </c>
      <c r="B12" s="3">
        <f>COUNTIF('System Test - Performance'!A5:A14,"?*")</f>
        <v>4</v>
      </c>
      <c r="C12" s="3">
        <f>COUNTIF('System Test - Performance'!I5:I14,"Pass")</f>
        <v>0</v>
      </c>
      <c r="D12" s="3">
        <f>COUNTIF('System Test - Performance'!I5:I14,"Fail")</f>
        <v>0</v>
      </c>
      <c r="E12" s="3">
        <f>COUNTIF('System Test - Performance'!I5:I14,"Not Tested")+COUNTIF('System Test - Performance'!I5:I14,"Partial")</f>
        <v>0</v>
      </c>
      <c r="F12" s="4">
        <f t="shared" si="0"/>
        <v>0</v>
      </c>
    </row>
    <row r="13" spans="1:6" x14ac:dyDescent="0.3">
      <c r="A13" s="2" t="s">
        <v>22</v>
      </c>
      <c r="B13" s="3">
        <f>COUNTIF('System Test - Usability'!A5:A14,"?*")</f>
        <v>10</v>
      </c>
      <c r="C13" s="3">
        <f>COUNTIF('System Test - Usability'!G5:G14,"Pass")</f>
        <v>0</v>
      </c>
      <c r="D13" s="3">
        <f>COUNTIF('System Test - Usability'!G5:G14,"Fail")</f>
        <v>0</v>
      </c>
      <c r="E13" s="3">
        <f>COUNTIF('System Test - Usability'!G5:G14,"Not Tested")+COUNTIF('System Test - Usability'!G5:G14,"Partial")</f>
        <v>0</v>
      </c>
      <c r="F13" s="4">
        <f t="shared" si="0"/>
        <v>0</v>
      </c>
    </row>
    <row r="14" spans="1:6" x14ac:dyDescent="0.3">
      <c r="A14" s="5" t="s">
        <v>23</v>
      </c>
      <c r="B14" s="6">
        <f>SUM(B5:B13)</f>
        <v>63</v>
      </c>
      <c r="C14" s="6">
        <f>SUM(C5:C13)</f>
        <v>12</v>
      </c>
      <c r="D14" s="6">
        <f>SUM(D5:D13)</f>
        <v>0</v>
      </c>
      <c r="E14" s="6">
        <f>SUM(E5:E13)</f>
        <v>3</v>
      </c>
      <c r="F14" s="7">
        <f t="shared" si="0"/>
        <v>0.19047619047619047</v>
      </c>
    </row>
    <row r="16" spans="1:6" x14ac:dyDescent="0.3">
      <c r="A16" s="20" t="s">
        <v>24</v>
      </c>
      <c r="B16" s="20"/>
      <c r="C16" s="20"/>
      <c r="D16" s="20"/>
      <c r="E16" s="20"/>
      <c r="F16" s="20"/>
    </row>
  </sheetData>
  <mergeCells count="3">
    <mergeCell ref="A1:F1"/>
    <mergeCell ref="A2:F2"/>
    <mergeCell ref="A16:F1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5"/>
  <sheetViews>
    <sheetView showGridLines="0" topLeftCell="C1" zoomScaleNormal="100" workbookViewId="0">
      <pane ySplit="4" topLeftCell="A7" activePane="bottomLeft" state="frozen"/>
      <selection pane="bottomLeft" activeCell="L9" sqref="L9"/>
    </sheetView>
  </sheetViews>
  <sheetFormatPr defaultColWidth="8.6640625" defaultRowHeight="14.4" x14ac:dyDescent="0.3"/>
  <cols>
    <col min="1" max="1" width="12" customWidth="1"/>
    <col min="2" max="2" width="14" customWidth="1"/>
    <col min="3" max="3" width="26" customWidth="1"/>
    <col min="4" max="4" width="18" customWidth="1"/>
    <col min="5" max="5" width="30" customWidth="1"/>
    <col min="6" max="6" width="18" customWidth="1"/>
    <col min="7" max="8" width="26" customWidth="1"/>
    <col min="9" max="9" width="10" customWidth="1"/>
    <col min="10" max="10" width="14" customWidth="1"/>
    <col min="11" max="11" width="12" customWidth="1"/>
    <col min="12" max="12" width="22" customWidth="1"/>
  </cols>
  <sheetData>
    <row r="1" spans="1:12" ht="17.399999999999999" x14ac:dyDescent="0.3">
      <c r="A1" s="19" t="s">
        <v>14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x14ac:dyDescent="0.3">
      <c r="A2" s="20" t="s">
        <v>238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4" spans="1:12" ht="30" customHeight="1" x14ac:dyDescent="0.3">
      <c r="A4" s="1" t="s">
        <v>25</v>
      </c>
      <c r="B4" s="1" t="s">
        <v>26</v>
      </c>
      <c r="C4" s="1" t="s">
        <v>27</v>
      </c>
      <c r="D4" s="1" t="s">
        <v>28</v>
      </c>
      <c r="E4" s="1" t="s">
        <v>29</v>
      </c>
      <c r="F4" s="1" t="s">
        <v>30</v>
      </c>
      <c r="G4" s="1" t="s">
        <v>31</v>
      </c>
      <c r="H4" s="1" t="s">
        <v>32</v>
      </c>
      <c r="I4" s="1" t="s">
        <v>33</v>
      </c>
      <c r="J4" s="1" t="s">
        <v>34</v>
      </c>
      <c r="K4" s="1" t="s">
        <v>35</v>
      </c>
      <c r="L4" s="1" t="s">
        <v>36</v>
      </c>
    </row>
    <row r="5" spans="1:12" ht="60" customHeight="1" x14ac:dyDescent="0.3">
      <c r="A5" s="8" t="s">
        <v>37</v>
      </c>
      <c r="B5" s="8" t="s">
        <v>38</v>
      </c>
      <c r="C5" s="9" t="s">
        <v>39</v>
      </c>
      <c r="D5" s="9" t="s">
        <v>40</v>
      </c>
      <c r="E5" s="9" t="s">
        <v>41</v>
      </c>
      <c r="F5" s="9" t="s">
        <v>248</v>
      </c>
      <c r="G5" s="9" t="s">
        <v>42</v>
      </c>
      <c r="H5" s="14" t="s">
        <v>250</v>
      </c>
      <c r="I5" s="16" t="s">
        <v>253</v>
      </c>
      <c r="J5" s="14" t="s">
        <v>247</v>
      </c>
      <c r="K5" s="15">
        <v>46260</v>
      </c>
      <c r="L5" s="14" t="s">
        <v>249</v>
      </c>
    </row>
    <row r="6" spans="1:12" ht="60" customHeight="1" x14ac:dyDescent="0.3">
      <c r="A6" s="8" t="s">
        <v>43</v>
      </c>
      <c r="B6" s="8" t="s">
        <v>38</v>
      </c>
      <c r="C6" s="9" t="s">
        <v>44</v>
      </c>
      <c r="D6" s="9" t="s">
        <v>40</v>
      </c>
      <c r="E6" s="9" t="s">
        <v>45</v>
      </c>
      <c r="F6" s="9" t="s">
        <v>251</v>
      </c>
      <c r="G6" s="9" t="s">
        <v>46</v>
      </c>
      <c r="H6" s="14" t="s">
        <v>252</v>
      </c>
      <c r="I6" s="16" t="s">
        <v>253</v>
      </c>
      <c r="J6" s="14" t="s">
        <v>247</v>
      </c>
      <c r="K6" s="15">
        <v>46260</v>
      </c>
      <c r="L6" s="14" t="s">
        <v>249</v>
      </c>
    </row>
    <row r="7" spans="1:12" ht="60" customHeight="1" x14ac:dyDescent="0.3">
      <c r="A7" s="8" t="s">
        <v>47</v>
      </c>
      <c r="B7" s="8" t="s">
        <v>38</v>
      </c>
      <c r="C7" s="9" t="s">
        <v>48</v>
      </c>
      <c r="D7" s="9" t="s">
        <v>40</v>
      </c>
      <c r="E7" s="9" t="s">
        <v>49</v>
      </c>
      <c r="F7" s="9" t="s">
        <v>50</v>
      </c>
      <c r="G7" s="9" t="s">
        <v>51</v>
      </c>
      <c r="H7" s="14" t="s">
        <v>252</v>
      </c>
      <c r="I7" s="14" t="s">
        <v>253</v>
      </c>
      <c r="J7" s="14" t="s">
        <v>247</v>
      </c>
      <c r="K7" s="15">
        <v>46260</v>
      </c>
      <c r="L7" s="14" t="s">
        <v>254</v>
      </c>
    </row>
    <row r="8" spans="1:12" ht="60" customHeight="1" x14ac:dyDescent="0.3">
      <c r="A8" s="8" t="s">
        <v>52</v>
      </c>
      <c r="B8" s="8" t="s">
        <v>53</v>
      </c>
      <c r="C8" s="9" t="s">
        <v>54</v>
      </c>
      <c r="D8" s="9" t="s">
        <v>55</v>
      </c>
      <c r="E8" s="9" t="s">
        <v>56</v>
      </c>
      <c r="F8" s="9" t="s">
        <v>57</v>
      </c>
      <c r="G8" s="9" t="s">
        <v>58</v>
      </c>
      <c r="H8" s="14" t="s">
        <v>255</v>
      </c>
      <c r="I8" s="14" t="s">
        <v>253</v>
      </c>
      <c r="J8" s="14" t="s">
        <v>247</v>
      </c>
      <c r="K8" s="15">
        <v>46260</v>
      </c>
      <c r="L8" s="14" t="s">
        <v>256</v>
      </c>
    </row>
    <row r="9" spans="1:12" ht="60" customHeight="1" x14ac:dyDescent="0.3">
      <c r="A9" s="8" t="s">
        <v>59</v>
      </c>
      <c r="B9" s="8" t="s">
        <v>53</v>
      </c>
      <c r="C9" s="9" t="s">
        <v>60</v>
      </c>
      <c r="D9" s="9" t="s">
        <v>55</v>
      </c>
      <c r="E9" s="9" t="s">
        <v>61</v>
      </c>
      <c r="F9" s="9" t="s">
        <v>62</v>
      </c>
      <c r="G9" s="9" t="s">
        <v>63</v>
      </c>
      <c r="H9" s="14" t="s">
        <v>257</v>
      </c>
      <c r="I9" s="14" t="s">
        <v>253</v>
      </c>
      <c r="J9" s="14" t="s">
        <v>247</v>
      </c>
      <c r="K9" s="15">
        <v>46260</v>
      </c>
      <c r="L9" s="14" t="s">
        <v>258</v>
      </c>
    </row>
    <row r="10" spans="1:12" ht="39.75" customHeight="1" x14ac:dyDescent="0.3">
      <c r="A10" s="12"/>
      <c r="B10" s="12"/>
      <c r="C10" s="12"/>
      <c r="D10" s="12"/>
      <c r="E10" s="12"/>
      <c r="F10" s="12"/>
      <c r="G10" s="12"/>
      <c r="H10" s="17"/>
      <c r="I10" s="17"/>
      <c r="J10" s="17"/>
      <c r="K10" s="17"/>
      <c r="L10" s="17"/>
    </row>
    <row r="11" spans="1:12" ht="39.75" customHeight="1" x14ac:dyDescent="0.3">
      <c r="A11" s="12"/>
      <c r="B11" s="12"/>
      <c r="C11" s="12"/>
      <c r="D11" s="12"/>
      <c r="E11" s="12"/>
      <c r="F11" s="12"/>
      <c r="G11" s="12"/>
      <c r="H11" s="17"/>
      <c r="I11" s="17"/>
      <c r="J11" s="17"/>
      <c r="K11" s="17"/>
      <c r="L11" s="17"/>
    </row>
    <row r="12" spans="1:12" ht="39.75" customHeight="1" x14ac:dyDescent="0.3">
      <c r="A12" s="12"/>
      <c r="B12" s="12"/>
      <c r="C12" s="12"/>
      <c r="D12" s="12"/>
      <c r="E12" s="12"/>
      <c r="F12" s="12"/>
      <c r="G12" s="12"/>
      <c r="H12" s="17"/>
      <c r="I12" s="17"/>
      <c r="J12" s="17"/>
      <c r="K12" s="17"/>
      <c r="L12" s="17"/>
    </row>
    <row r="13" spans="1:12" ht="39.75" customHeight="1" x14ac:dyDescent="0.3">
      <c r="A13" s="12"/>
      <c r="B13" s="12"/>
      <c r="C13" s="12"/>
      <c r="D13" s="12"/>
      <c r="E13" s="12"/>
      <c r="F13" s="12"/>
      <c r="G13" s="12"/>
      <c r="H13" s="17"/>
      <c r="I13" s="17"/>
      <c r="J13" s="17"/>
      <c r="K13" s="17"/>
      <c r="L13" s="17"/>
    </row>
    <row r="14" spans="1:12" ht="39.75" customHeight="1" x14ac:dyDescent="0.3">
      <c r="A14" s="12"/>
      <c r="B14" s="12"/>
      <c r="C14" s="12"/>
      <c r="D14" s="12"/>
      <c r="E14" s="12"/>
      <c r="F14" s="12"/>
      <c r="G14" s="12"/>
      <c r="H14" s="17"/>
      <c r="I14" s="17"/>
      <c r="J14" s="17"/>
      <c r="K14" s="17"/>
      <c r="L14" s="17"/>
    </row>
    <row r="15" spans="1:12" ht="39.75" customHeight="1" x14ac:dyDescent="0.3">
      <c r="A15" s="12"/>
      <c r="B15" s="12"/>
      <c r="C15" s="12"/>
      <c r="D15" s="12"/>
      <c r="E15" s="12"/>
      <c r="F15" s="12"/>
      <c r="G15" s="12"/>
      <c r="H15" s="17"/>
      <c r="I15" s="17"/>
      <c r="J15" s="17"/>
      <c r="K15" s="17"/>
      <c r="L15" s="17"/>
    </row>
  </sheetData>
  <mergeCells count="2">
    <mergeCell ref="A1:L1"/>
    <mergeCell ref="A2:L2"/>
  </mergeCells>
  <dataValidations count="1">
    <dataValidation type="list" allowBlank="1" sqref="I5:I15" xr:uid="{00000000-0002-0000-0200-000000000000}">
      <formula1>"Pass,Fail,Not Tested"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4"/>
  <sheetViews>
    <sheetView showGridLines="0" zoomScaleNormal="100" workbookViewId="0">
      <pane ySplit="4" topLeftCell="A5" activePane="bottomLeft" state="frozen"/>
      <selection pane="bottomLeft" activeCell="E5" sqref="E5"/>
    </sheetView>
  </sheetViews>
  <sheetFormatPr defaultColWidth="8.6640625" defaultRowHeight="14.4" x14ac:dyDescent="0.3"/>
  <cols>
    <col min="1" max="1" width="12" customWidth="1"/>
    <col min="2" max="2" width="24" customWidth="1"/>
    <col min="3" max="3" width="20" customWidth="1"/>
    <col min="4" max="4" width="30" customWidth="1"/>
    <col min="5" max="6" width="26" customWidth="1"/>
    <col min="7" max="7" width="10" customWidth="1"/>
    <col min="8" max="8" width="14" customWidth="1"/>
    <col min="9" max="9" width="12" customWidth="1"/>
    <col min="10" max="10" width="24" customWidth="1"/>
  </cols>
  <sheetData>
    <row r="1" spans="1:10" ht="17.399999999999999" x14ac:dyDescent="0.3">
      <c r="A1" s="19" t="s">
        <v>15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x14ac:dyDescent="0.3">
      <c r="A2" s="20" t="s">
        <v>239</v>
      </c>
      <c r="B2" s="20"/>
      <c r="C2" s="20"/>
      <c r="D2" s="20"/>
      <c r="E2" s="20"/>
      <c r="F2" s="20"/>
      <c r="G2" s="20"/>
      <c r="H2" s="20"/>
      <c r="I2" s="20"/>
      <c r="J2" s="20"/>
    </row>
    <row r="4" spans="1:10" ht="30" customHeight="1" x14ac:dyDescent="0.3">
      <c r="A4" s="1" t="s">
        <v>25</v>
      </c>
      <c r="B4" s="1" t="s">
        <v>64</v>
      </c>
      <c r="C4" s="1" t="s">
        <v>65</v>
      </c>
      <c r="D4" s="1" t="s">
        <v>66</v>
      </c>
      <c r="E4" s="1" t="s">
        <v>67</v>
      </c>
      <c r="F4" s="1" t="s">
        <v>68</v>
      </c>
      <c r="G4" s="1" t="s">
        <v>33</v>
      </c>
      <c r="H4" s="1" t="s">
        <v>34</v>
      </c>
      <c r="I4" s="1" t="s">
        <v>35</v>
      </c>
      <c r="J4" s="1" t="s">
        <v>69</v>
      </c>
    </row>
    <row r="5" spans="1:10" ht="49.5" customHeight="1" x14ac:dyDescent="0.3">
      <c r="A5" s="8" t="s">
        <v>70</v>
      </c>
      <c r="B5" s="9" t="s">
        <v>71</v>
      </c>
      <c r="C5" s="9" t="s">
        <v>72</v>
      </c>
      <c r="D5" s="9" t="s">
        <v>282</v>
      </c>
      <c r="E5" s="9" t="s">
        <v>285</v>
      </c>
      <c r="F5" s="14" t="s">
        <v>259</v>
      </c>
      <c r="G5" s="14" t="s">
        <v>253</v>
      </c>
      <c r="H5" s="14" t="s">
        <v>260</v>
      </c>
      <c r="I5" s="13" t="s">
        <v>281</v>
      </c>
      <c r="J5" s="14" t="s">
        <v>261</v>
      </c>
    </row>
    <row r="6" spans="1:10" ht="49.5" customHeight="1" x14ac:dyDescent="0.3">
      <c r="A6" s="8" t="s">
        <v>75</v>
      </c>
      <c r="B6" s="9" t="s">
        <v>76</v>
      </c>
      <c r="C6" s="9" t="s">
        <v>72</v>
      </c>
      <c r="D6" s="9" t="s">
        <v>283</v>
      </c>
      <c r="E6" s="9" t="s">
        <v>285</v>
      </c>
      <c r="F6" s="14" t="s">
        <v>271</v>
      </c>
      <c r="G6" s="14" t="s">
        <v>253</v>
      </c>
      <c r="H6" s="14" t="s">
        <v>260</v>
      </c>
      <c r="I6" s="13" t="s">
        <v>281</v>
      </c>
      <c r="J6" s="14" t="s">
        <v>262</v>
      </c>
    </row>
    <row r="7" spans="1:10" ht="49.5" customHeight="1" x14ac:dyDescent="0.3">
      <c r="A7" s="8" t="s">
        <v>77</v>
      </c>
      <c r="B7" s="9" t="s">
        <v>78</v>
      </c>
      <c r="C7" s="9" t="s">
        <v>72</v>
      </c>
      <c r="D7" s="9" t="s">
        <v>283</v>
      </c>
      <c r="E7" s="9" t="s">
        <v>285</v>
      </c>
      <c r="F7" s="14" t="s">
        <v>272</v>
      </c>
      <c r="G7" s="14" t="s">
        <v>280</v>
      </c>
      <c r="H7" s="14" t="s">
        <v>260</v>
      </c>
      <c r="I7" s="13" t="s">
        <v>281</v>
      </c>
      <c r="J7" s="14" t="s">
        <v>263</v>
      </c>
    </row>
    <row r="8" spans="1:10" ht="49.5" customHeight="1" x14ac:dyDescent="0.3">
      <c r="A8" s="8" t="s">
        <v>79</v>
      </c>
      <c r="B8" s="9" t="s">
        <v>80</v>
      </c>
      <c r="C8" s="9" t="s">
        <v>72</v>
      </c>
      <c r="D8" s="9" t="s">
        <v>283</v>
      </c>
      <c r="E8" s="9" t="s">
        <v>285</v>
      </c>
      <c r="F8" s="14" t="s">
        <v>273</v>
      </c>
      <c r="G8" s="14" t="s">
        <v>253</v>
      </c>
      <c r="H8" s="14" t="s">
        <v>260</v>
      </c>
      <c r="I8" s="13" t="s">
        <v>281</v>
      </c>
      <c r="J8" s="14" t="s">
        <v>264</v>
      </c>
    </row>
    <row r="9" spans="1:10" ht="49.5" customHeight="1" x14ac:dyDescent="0.3">
      <c r="A9" s="8" t="s">
        <v>81</v>
      </c>
      <c r="B9" s="9" t="s">
        <v>82</v>
      </c>
      <c r="C9" s="9" t="s">
        <v>72</v>
      </c>
      <c r="D9" s="9" t="s">
        <v>284</v>
      </c>
      <c r="E9" s="9" t="s">
        <v>285</v>
      </c>
      <c r="F9" s="14" t="s">
        <v>274</v>
      </c>
      <c r="G9" s="14" t="s">
        <v>280</v>
      </c>
      <c r="H9" s="14" t="s">
        <v>260</v>
      </c>
      <c r="I9" s="13" t="s">
        <v>281</v>
      </c>
      <c r="J9" s="14" t="s">
        <v>265</v>
      </c>
    </row>
    <row r="10" spans="1:10" ht="49.5" customHeight="1" x14ac:dyDescent="0.3">
      <c r="A10" s="8" t="s">
        <v>83</v>
      </c>
      <c r="B10" s="9" t="s">
        <v>84</v>
      </c>
      <c r="C10" s="9" t="s">
        <v>72</v>
      </c>
      <c r="D10" s="9" t="s">
        <v>283</v>
      </c>
      <c r="E10" s="9" t="s">
        <v>285</v>
      </c>
      <c r="F10" s="14" t="s">
        <v>275</v>
      </c>
      <c r="G10" s="14" t="s">
        <v>253</v>
      </c>
      <c r="H10" s="14" t="s">
        <v>260</v>
      </c>
      <c r="I10" s="13" t="s">
        <v>281</v>
      </c>
      <c r="J10" s="14" t="s">
        <v>266</v>
      </c>
    </row>
    <row r="11" spans="1:10" ht="49.5" customHeight="1" x14ac:dyDescent="0.3">
      <c r="A11" s="8" t="s">
        <v>85</v>
      </c>
      <c r="B11" s="9" t="s">
        <v>86</v>
      </c>
      <c r="C11" s="9" t="s">
        <v>72</v>
      </c>
      <c r="D11" s="9" t="s">
        <v>283</v>
      </c>
      <c r="E11" s="9" t="s">
        <v>285</v>
      </c>
      <c r="F11" s="14" t="s">
        <v>276</v>
      </c>
      <c r="G11" s="14" t="s">
        <v>280</v>
      </c>
      <c r="H11" s="14" t="s">
        <v>260</v>
      </c>
      <c r="I11" s="13" t="s">
        <v>281</v>
      </c>
      <c r="J11" s="14" t="s">
        <v>267</v>
      </c>
    </row>
    <row r="12" spans="1:10" ht="49.5" customHeight="1" x14ac:dyDescent="0.3">
      <c r="A12" s="8" t="s">
        <v>87</v>
      </c>
      <c r="B12" s="9" t="s">
        <v>88</v>
      </c>
      <c r="C12" s="9" t="s">
        <v>72</v>
      </c>
      <c r="D12" s="9" t="s">
        <v>283</v>
      </c>
      <c r="E12" s="9" t="s">
        <v>285</v>
      </c>
      <c r="F12" s="14" t="s">
        <v>277</v>
      </c>
      <c r="G12" s="14" t="s">
        <v>253</v>
      </c>
      <c r="H12" s="14" t="s">
        <v>260</v>
      </c>
      <c r="I12" s="13" t="s">
        <v>281</v>
      </c>
      <c r="J12" s="14" t="s">
        <v>268</v>
      </c>
    </row>
    <row r="13" spans="1:10" ht="49.5" customHeight="1" x14ac:dyDescent="0.3">
      <c r="A13" s="8" t="s">
        <v>89</v>
      </c>
      <c r="B13" s="9" t="s">
        <v>90</v>
      </c>
      <c r="C13" s="9" t="s">
        <v>72</v>
      </c>
      <c r="D13" s="9" t="s">
        <v>283</v>
      </c>
      <c r="E13" s="9" t="s">
        <v>285</v>
      </c>
      <c r="F13" s="14" t="s">
        <v>278</v>
      </c>
      <c r="G13" s="14" t="s">
        <v>253</v>
      </c>
      <c r="H13" s="14" t="s">
        <v>260</v>
      </c>
      <c r="I13" s="13" t="s">
        <v>281</v>
      </c>
      <c r="J13" s="14" t="s">
        <v>269</v>
      </c>
    </row>
    <row r="14" spans="1:10" ht="49.5" customHeight="1" x14ac:dyDescent="0.3">
      <c r="A14" s="8" t="s">
        <v>91</v>
      </c>
      <c r="B14" s="9" t="s">
        <v>92</v>
      </c>
      <c r="C14" s="9" t="s">
        <v>72</v>
      </c>
      <c r="D14" s="9" t="s">
        <v>283</v>
      </c>
      <c r="E14" s="9" t="s">
        <v>285</v>
      </c>
      <c r="F14" s="14" t="s">
        <v>279</v>
      </c>
      <c r="G14" s="14" t="s">
        <v>253</v>
      </c>
      <c r="H14" s="14" t="s">
        <v>260</v>
      </c>
      <c r="I14" s="13" t="s">
        <v>281</v>
      </c>
      <c r="J14" s="14" t="s">
        <v>270</v>
      </c>
    </row>
  </sheetData>
  <mergeCells count="2">
    <mergeCell ref="A1:J1"/>
    <mergeCell ref="A2:J2"/>
  </mergeCells>
  <dataValidations count="1">
    <dataValidation type="list" allowBlank="1" sqref="G5:G14" xr:uid="{00000000-0002-0000-0300-000000000000}">
      <formula1>"Pass,Fail,Partial"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5"/>
  <sheetViews>
    <sheetView showGridLines="0" tabSelected="1" topLeftCell="C1" zoomScaleNormal="100" workbookViewId="0">
      <pane ySplit="4" topLeftCell="A5" activePane="bottomLeft" state="frozen"/>
      <selection pane="bottomLeft" activeCell="H5" sqref="H5:L15"/>
    </sheetView>
  </sheetViews>
  <sheetFormatPr defaultColWidth="8.6640625" defaultRowHeight="14.4" x14ac:dyDescent="0.3"/>
  <cols>
    <col min="1" max="1" width="12" customWidth="1"/>
    <col min="2" max="2" width="14" customWidth="1"/>
    <col min="3" max="3" width="26" customWidth="1"/>
    <col min="4" max="4" width="18" customWidth="1"/>
    <col min="5" max="5" width="30" customWidth="1"/>
    <col min="6" max="6" width="18" customWidth="1"/>
    <col min="7" max="8" width="26" customWidth="1"/>
    <col min="9" max="9" width="10" customWidth="1"/>
    <col min="10" max="10" width="14" customWidth="1"/>
    <col min="11" max="11" width="12" customWidth="1"/>
    <col min="12" max="12" width="22" customWidth="1"/>
  </cols>
  <sheetData>
    <row r="1" spans="1:12" ht="17.399999999999999" x14ac:dyDescent="0.3">
      <c r="A1" s="19" t="s">
        <v>16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x14ac:dyDescent="0.3">
      <c r="A2" s="20" t="s">
        <v>240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4" spans="1:12" ht="30" customHeight="1" x14ac:dyDescent="0.3">
      <c r="A4" s="1" t="s">
        <v>25</v>
      </c>
      <c r="B4" s="1" t="s">
        <v>26</v>
      </c>
      <c r="C4" s="1" t="s">
        <v>27</v>
      </c>
      <c r="D4" s="1" t="s">
        <v>28</v>
      </c>
      <c r="E4" s="1" t="s">
        <v>29</v>
      </c>
      <c r="F4" s="1" t="s">
        <v>30</v>
      </c>
      <c r="G4" s="1" t="s">
        <v>31</v>
      </c>
      <c r="H4" s="1" t="s">
        <v>32</v>
      </c>
      <c r="I4" s="1" t="s">
        <v>33</v>
      </c>
      <c r="J4" s="1" t="s">
        <v>34</v>
      </c>
      <c r="K4" s="1" t="s">
        <v>35</v>
      </c>
      <c r="L4" s="1" t="s">
        <v>36</v>
      </c>
    </row>
    <row r="5" spans="1:12" ht="60" customHeight="1" x14ac:dyDescent="0.3">
      <c r="A5" s="8" t="s">
        <v>93</v>
      </c>
      <c r="B5" s="8" t="s">
        <v>94</v>
      </c>
      <c r="C5" s="9" t="s">
        <v>95</v>
      </c>
      <c r="D5" s="9" t="s">
        <v>96</v>
      </c>
      <c r="E5" s="9" t="s">
        <v>97</v>
      </c>
      <c r="F5" s="9" t="s">
        <v>98</v>
      </c>
      <c r="G5" s="9" t="s">
        <v>99</v>
      </c>
      <c r="H5" s="14"/>
      <c r="I5" s="13"/>
      <c r="J5" s="13"/>
      <c r="K5" s="13"/>
      <c r="L5" s="14"/>
    </row>
    <row r="6" spans="1:12" ht="60" customHeight="1" x14ac:dyDescent="0.3">
      <c r="A6" s="8" t="s">
        <v>100</v>
      </c>
      <c r="B6" s="8" t="s">
        <v>94</v>
      </c>
      <c r="C6" s="9" t="s">
        <v>101</v>
      </c>
      <c r="D6" s="9" t="s">
        <v>102</v>
      </c>
      <c r="E6" s="9" t="s">
        <v>103</v>
      </c>
      <c r="F6" s="9" t="s">
        <v>104</v>
      </c>
      <c r="G6" s="9" t="s">
        <v>105</v>
      </c>
      <c r="H6" s="14"/>
      <c r="I6" s="13"/>
      <c r="J6" s="13"/>
      <c r="K6" s="13"/>
      <c r="L6" s="14"/>
    </row>
    <row r="7" spans="1:12" ht="60" customHeight="1" x14ac:dyDescent="0.3">
      <c r="A7" s="8" t="s">
        <v>106</v>
      </c>
      <c r="B7" s="8" t="s">
        <v>107</v>
      </c>
      <c r="C7" s="9" t="s">
        <v>108</v>
      </c>
      <c r="D7" s="9" t="s">
        <v>109</v>
      </c>
      <c r="E7" s="9" t="s">
        <v>110</v>
      </c>
      <c r="F7" s="9" t="s">
        <v>111</v>
      </c>
      <c r="G7" s="9" t="s">
        <v>112</v>
      </c>
      <c r="H7" s="14"/>
      <c r="I7" s="13"/>
      <c r="J7" s="13"/>
      <c r="K7" s="13"/>
      <c r="L7" s="14"/>
    </row>
    <row r="8" spans="1:12" ht="60" customHeight="1" x14ac:dyDescent="0.3">
      <c r="A8" s="8" t="s">
        <v>113</v>
      </c>
      <c r="B8" s="8" t="s">
        <v>107</v>
      </c>
      <c r="C8" s="9" t="s">
        <v>114</v>
      </c>
      <c r="D8" s="9" t="s">
        <v>115</v>
      </c>
      <c r="E8" s="9" t="s">
        <v>116</v>
      </c>
      <c r="F8" s="9" t="s">
        <v>117</v>
      </c>
      <c r="G8" s="9" t="s">
        <v>118</v>
      </c>
      <c r="H8" s="14"/>
      <c r="I8" s="13"/>
      <c r="J8" s="13"/>
      <c r="K8" s="13"/>
      <c r="L8" s="14"/>
    </row>
    <row r="9" spans="1:12" ht="60" customHeight="1" x14ac:dyDescent="0.3">
      <c r="A9" s="8" t="s">
        <v>119</v>
      </c>
      <c r="B9" s="8" t="s">
        <v>120</v>
      </c>
      <c r="C9" s="9" t="s">
        <v>121</v>
      </c>
      <c r="D9" s="9" t="s">
        <v>122</v>
      </c>
      <c r="E9" s="9" t="s">
        <v>123</v>
      </c>
      <c r="F9" s="9" t="s">
        <v>124</v>
      </c>
      <c r="G9" s="9" t="s">
        <v>125</v>
      </c>
      <c r="H9" s="14"/>
      <c r="I9" s="13"/>
      <c r="J9" s="13"/>
      <c r="K9" s="13"/>
      <c r="L9" s="14"/>
    </row>
    <row r="10" spans="1:12" ht="39.75" customHeight="1" x14ac:dyDescent="0.3">
      <c r="A10" s="12"/>
      <c r="B10" s="12"/>
      <c r="C10" s="12"/>
      <c r="D10" s="12"/>
      <c r="E10" s="12"/>
      <c r="F10" s="12"/>
      <c r="G10" s="12"/>
      <c r="H10" s="17"/>
      <c r="I10" s="17"/>
      <c r="J10" s="17"/>
      <c r="K10" s="17"/>
      <c r="L10" s="17"/>
    </row>
    <row r="11" spans="1:12" ht="39.75" customHeight="1" x14ac:dyDescent="0.3">
      <c r="A11" s="12"/>
      <c r="B11" s="12"/>
      <c r="C11" s="12"/>
      <c r="D11" s="12"/>
      <c r="E11" s="12"/>
      <c r="F11" s="12"/>
      <c r="G11" s="12"/>
      <c r="H11" s="17"/>
      <c r="I11" s="17"/>
      <c r="J11" s="17"/>
      <c r="K11" s="17"/>
      <c r="L11" s="17"/>
    </row>
    <row r="12" spans="1:12" ht="39.75" customHeight="1" x14ac:dyDescent="0.3">
      <c r="A12" s="12"/>
      <c r="B12" s="12"/>
      <c r="C12" s="12"/>
      <c r="D12" s="12"/>
      <c r="E12" s="12"/>
      <c r="F12" s="12"/>
      <c r="G12" s="12"/>
      <c r="H12" s="17"/>
      <c r="I12" s="17"/>
      <c r="J12" s="17"/>
      <c r="K12" s="17"/>
      <c r="L12" s="17"/>
    </row>
    <row r="13" spans="1:12" ht="39.75" customHeight="1" x14ac:dyDescent="0.3">
      <c r="A13" s="12"/>
      <c r="B13" s="12"/>
      <c r="C13" s="12"/>
      <c r="D13" s="12"/>
      <c r="E13" s="12"/>
      <c r="F13" s="12"/>
      <c r="G13" s="12"/>
      <c r="H13" s="17"/>
      <c r="I13" s="17"/>
      <c r="J13" s="17"/>
      <c r="K13" s="17"/>
      <c r="L13" s="17"/>
    </row>
    <row r="14" spans="1:12" ht="39.75" customHeight="1" x14ac:dyDescent="0.3">
      <c r="A14" s="12"/>
      <c r="B14" s="12"/>
      <c r="C14" s="12"/>
      <c r="D14" s="12"/>
      <c r="E14" s="12"/>
      <c r="F14" s="12"/>
      <c r="G14" s="12"/>
      <c r="H14" s="17"/>
      <c r="I14" s="17"/>
      <c r="J14" s="17"/>
      <c r="K14" s="17"/>
      <c r="L14" s="17"/>
    </row>
    <row r="15" spans="1:12" ht="39.75" customHeight="1" x14ac:dyDescent="0.3">
      <c r="A15" s="12"/>
      <c r="B15" s="12"/>
      <c r="C15" s="12"/>
      <c r="D15" s="12"/>
      <c r="E15" s="12"/>
      <c r="F15" s="12"/>
      <c r="G15" s="12"/>
      <c r="H15" s="17"/>
      <c r="I15" s="17"/>
      <c r="J15" s="17"/>
      <c r="K15" s="17"/>
      <c r="L15" s="17"/>
    </row>
  </sheetData>
  <mergeCells count="2">
    <mergeCell ref="A1:L1"/>
    <mergeCell ref="A2:L2"/>
  </mergeCells>
  <dataValidations count="1">
    <dataValidation type="list" allowBlank="1" sqref="I5:I15" xr:uid="{00000000-0002-0000-0400-000000000000}">
      <formula1>"Pass,Fail,Not Tested"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4"/>
  <sheetViews>
    <sheetView showGridLines="0" zoomScaleNormal="100" workbookViewId="0">
      <pane ySplit="4" topLeftCell="A10" activePane="bottomLeft" state="frozen"/>
      <selection pane="bottomLeft" activeCell="F5" sqref="F5:J14"/>
    </sheetView>
  </sheetViews>
  <sheetFormatPr defaultColWidth="8.6640625" defaultRowHeight="14.4" x14ac:dyDescent="0.3"/>
  <cols>
    <col min="1" max="1" width="12" customWidth="1"/>
    <col min="2" max="2" width="24" customWidth="1"/>
    <col min="3" max="3" width="20" customWidth="1"/>
    <col min="4" max="4" width="30" customWidth="1"/>
    <col min="5" max="6" width="26" customWidth="1"/>
    <col min="7" max="7" width="10" customWidth="1"/>
    <col min="8" max="8" width="14" customWidth="1"/>
    <col min="9" max="9" width="12" customWidth="1"/>
    <col min="10" max="10" width="24" customWidth="1"/>
  </cols>
  <sheetData>
    <row r="1" spans="1:10" ht="17.399999999999999" x14ac:dyDescent="0.3">
      <c r="A1" s="19" t="s">
        <v>17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x14ac:dyDescent="0.3">
      <c r="A2" s="20" t="s">
        <v>241</v>
      </c>
      <c r="B2" s="20"/>
      <c r="C2" s="20"/>
      <c r="D2" s="20"/>
      <c r="E2" s="20"/>
      <c r="F2" s="20"/>
      <c r="G2" s="20"/>
      <c r="H2" s="20"/>
      <c r="I2" s="20"/>
      <c r="J2" s="20"/>
    </row>
    <row r="4" spans="1:10" ht="30" customHeight="1" x14ac:dyDescent="0.3">
      <c r="A4" s="1" t="s">
        <v>25</v>
      </c>
      <c r="B4" s="1" t="s">
        <v>64</v>
      </c>
      <c r="C4" s="1" t="s">
        <v>65</v>
      </c>
      <c r="D4" s="1" t="s">
        <v>66</v>
      </c>
      <c r="E4" s="1" t="s">
        <v>67</v>
      </c>
      <c r="F4" s="1" t="s">
        <v>68</v>
      </c>
      <c r="G4" s="1" t="s">
        <v>33</v>
      </c>
      <c r="H4" s="1" t="s">
        <v>34</v>
      </c>
      <c r="I4" s="1" t="s">
        <v>35</v>
      </c>
      <c r="J4" s="1" t="s">
        <v>69</v>
      </c>
    </row>
    <row r="5" spans="1:10" ht="49.5" customHeight="1" x14ac:dyDescent="0.3">
      <c r="A5" s="8" t="s">
        <v>126</v>
      </c>
      <c r="B5" s="9" t="s">
        <v>71</v>
      </c>
      <c r="C5" s="9" t="s">
        <v>127</v>
      </c>
      <c r="D5" s="9" t="s">
        <v>73</v>
      </c>
      <c r="E5" s="9" t="s">
        <v>74</v>
      </c>
      <c r="F5" s="14"/>
      <c r="G5" s="13"/>
      <c r="H5" s="13"/>
      <c r="I5" s="13"/>
      <c r="J5" s="14"/>
    </row>
    <row r="6" spans="1:10" ht="49.5" customHeight="1" x14ac:dyDescent="0.3">
      <c r="A6" s="8" t="s">
        <v>128</v>
      </c>
      <c r="B6" s="9" t="s">
        <v>76</v>
      </c>
      <c r="C6" s="9" t="s">
        <v>127</v>
      </c>
      <c r="D6" s="9" t="s">
        <v>73</v>
      </c>
      <c r="E6" s="9" t="s">
        <v>74</v>
      </c>
      <c r="F6" s="14"/>
      <c r="G6" s="13"/>
      <c r="H6" s="13"/>
      <c r="I6" s="13"/>
      <c r="J6" s="14"/>
    </row>
    <row r="7" spans="1:10" ht="49.5" customHeight="1" x14ac:dyDescent="0.3">
      <c r="A7" s="8" t="s">
        <v>129</v>
      </c>
      <c r="B7" s="9" t="s">
        <v>78</v>
      </c>
      <c r="C7" s="9" t="s">
        <v>127</v>
      </c>
      <c r="D7" s="9" t="s">
        <v>73</v>
      </c>
      <c r="E7" s="9" t="s">
        <v>74</v>
      </c>
      <c r="F7" s="14"/>
      <c r="G7" s="13"/>
      <c r="H7" s="13"/>
      <c r="I7" s="13"/>
      <c r="J7" s="14"/>
    </row>
    <row r="8" spans="1:10" ht="49.5" customHeight="1" x14ac:dyDescent="0.3">
      <c r="A8" s="8" t="s">
        <v>130</v>
      </c>
      <c r="B8" s="9" t="s">
        <v>80</v>
      </c>
      <c r="C8" s="9" t="s">
        <v>127</v>
      </c>
      <c r="D8" s="9" t="s">
        <v>73</v>
      </c>
      <c r="E8" s="9" t="s">
        <v>74</v>
      </c>
      <c r="F8" s="14"/>
      <c r="G8" s="13"/>
      <c r="H8" s="13"/>
      <c r="I8" s="13"/>
      <c r="J8" s="14"/>
    </row>
    <row r="9" spans="1:10" ht="49.5" customHeight="1" x14ac:dyDescent="0.3">
      <c r="A9" s="8" t="s">
        <v>131</v>
      </c>
      <c r="B9" s="9" t="s">
        <v>82</v>
      </c>
      <c r="C9" s="9" t="s">
        <v>127</v>
      </c>
      <c r="D9" s="9" t="s">
        <v>73</v>
      </c>
      <c r="E9" s="9" t="s">
        <v>74</v>
      </c>
      <c r="F9" s="14"/>
      <c r="G9" s="13"/>
      <c r="H9" s="13"/>
      <c r="I9" s="13"/>
      <c r="J9" s="14"/>
    </row>
    <row r="10" spans="1:10" ht="49.5" customHeight="1" x14ac:dyDescent="0.3">
      <c r="A10" s="8" t="s">
        <v>132</v>
      </c>
      <c r="B10" s="9" t="s">
        <v>84</v>
      </c>
      <c r="C10" s="9" t="s">
        <v>127</v>
      </c>
      <c r="D10" s="9" t="s">
        <v>73</v>
      </c>
      <c r="E10" s="9" t="s">
        <v>74</v>
      </c>
      <c r="F10" s="14"/>
      <c r="G10" s="13"/>
      <c r="H10" s="13"/>
      <c r="I10" s="13"/>
      <c r="J10" s="14"/>
    </row>
    <row r="11" spans="1:10" ht="49.5" customHeight="1" x14ac:dyDescent="0.3">
      <c r="A11" s="8" t="s">
        <v>133</v>
      </c>
      <c r="B11" s="9" t="s">
        <v>86</v>
      </c>
      <c r="C11" s="9" t="s">
        <v>127</v>
      </c>
      <c r="D11" s="9" t="s">
        <v>73</v>
      </c>
      <c r="E11" s="9" t="s">
        <v>74</v>
      </c>
      <c r="F11" s="14"/>
      <c r="G11" s="13"/>
      <c r="H11" s="13"/>
      <c r="I11" s="13"/>
      <c r="J11" s="14"/>
    </row>
    <row r="12" spans="1:10" ht="49.5" customHeight="1" x14ac:dyDescent="0.3">
      <c r="A12" s="8" t="s">
        <v>134</v>
      </c>
      <c r="B12" s="9" t="s">
        <v>88</v>
      </c>
      <c r="C12" s="9" t="s">
        <v>127</v>
      </c>
      <c r="D12" s="9" t="s">
        <v>73</v>
      </c>
      <c r="E12" s="9" t="s">
        <v>74</v>
      </c>
      <c r="F12" s="14"/>
      <c r="G12" s="13"/>
      <c r="H12" s="13"/>
      <c r="I12" s="13"/>
      <c r="J12" s="14"/>
    </row>
    <row r="13" spans="1:10" ht="49.5" customHeight="1" x14ac:dyDescent="0.3">
      <c r="A13" s="8" t="s">
        <v>135</v>
      </c>
      <c r="B13" s="9" t="s">
        <v>90</v>
      </c>
      <c r="C13" s="9" t="s">
        <v>127</v>
      </c>
      <c r="D13" s="9" t="s">
        <v>73</v>
      </c>
      <c r="E13" s="9" t="s">
        <v>74</v>
      </c>
      <c r="F13" s="14"/>
      <c r="G13" s="13"/>
      <c r="H13" s="13"/>
      <c r="I13" s="13"/>
      <c r="J13" s="14"/>
    </row>
    <row r="14" spans="1:10" ht="49.5" customHeight="1" x14ac:dyDescent="0.3">
      <c r="A14" s="8" t="s">
        <v>136</v>
      </c>
      <c r="B14" s="9" t="s">
        <v>92</v>
      </c>
      <c r="C14" s="9" t="s">
        <v>127</v>
      </c>
      <c r="D14" s="9" t="s">
        <v>73</v>
      </c>
      <c r="E14" s="9" t="s">
        <v>74</v>
      </c>
      <c r="F14" s="14"/>
      <c r="G14" s="13"/>
      <c r="H14" s="13"/>
      <c r="I14" s="13"/>
      <c r="J14" s="14"/>
    </row>
  </sheetData>
  <mergeCells count="2">
    <mergeCell ref="A1:J1"/>
    <mergeCell ref="A2:J2"/>
  </mergeCells>
  <dataValidations count="1">
    <dataValidation type="list" allowBlank="1" sqref="G5:G14" xr:uid="{00000000-0002-0000-0500-000000000000}">
      <formula1>"Pass,Fail,Partial"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9"/>
  <sheetViews>
    <sheetView showGridLines="0" topLeftCell="D1" zoomScaleNormal="100" workbookViewId="0">
      <pane ySplit="4" topLeftCell="A10" activePane="bottomLeft" state="frozen"/>
      <selection pane="bottomLeft" activeCell="G16" sqref="G16"/>
    </sheetView>
  </sheetViews>
  <sheetFormatPr defaultColWidth="8.6640625" defaultRowHeight="14.4" x14ac:dyDescent="0.3"/>
  <cols>
    <col min="1" max="1" width="12" customWidth="1"/>
    <col min="2" max="2" width="14" customWidth="1"/>
    <col min="3" max="3" width="26" customWidth="1"/>
    <col min="4" max="4" width="18" customWidth="1"/>
    <col min="5" max="5" width="30" customWidth="1"/>
    <col min="6" max="6" width="18" customWidth="1"/>
    <col min="7" max="8" width="26" customWidth="1"/>
    <col min="9" max="9" width="10" customWidth="1"/>
    <col min="10" max="10" width="14" customWidth="1"/>
    <col min="11" max="11" width="12" customWidth="1"/>
    <col min="12" max="12" width="22" customWidth="1"/>
  </cols>
  <sheetData>
    <row r="1" spans="1:12" ht="17.399999999999999" x14ac:dyDescent="0.3">
      <c r="A1" s="19" t="s">
        <v>18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x14ac:dyDescent="0.3">
      <c r="A2" s="20" t="s">
        <v>242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4" spans="1:12" ht="30" customHeight="1" x14ac:dyDescent="0.3">
      <c r="A4" s="1" t="s">
        <v>25</v>
      </c>
      <c r="B4" s="1" t="s">
        <v>26</v>
      </c>
      <c r="C4" s="1" t="s">
        <v>27</v>
      </c>
      <c r="D4" s="1" t="s">
        <v>28</v>
      </c>
      <c r="E4" s="1" t="s">
        <v>29</v>
      </c>
      <c r="F4" s="1" t="s">
        <v>30</v>
      </c>
      <c r="G4" s="1" t="s">
        <v>31</v>
      </c>
      <c r="H4" s="1" t="s">
        <v>32</v>
      </c>
      <c r="I4" s="1" t="s">
        <v>33</v>
      </c>
      <c r="J4" s="1" t="s">
        <v>34</v>
      </c>
      <c r="K4" s="1" t="s">
        <v>35</v>
      </c>
      <c r="L4" s="1" t="s">
        <v>36</v>
      </c>
    </row>
    <row r="5" spans="1:12" ht="60" customHeight="1" x14ac:dyDescent="0.3">
      <c r="A5" s="8" t="s">
        <v>137</v>
      </c>
      <c r="B5" s="8" t="s">
        <v>138</v>
      </c>
      <c r="C5" s="9" t="s">
        <v>139</v>
      </c>
      <c r="D5" s="9" t="s">
        <v>140</v>
      </c>
      <c r="E5" s="9" t="s">
        <v>141</v>
      </c>
      <c r="F5" s="9" t="s">
        <v>142</v>
      </c>
      <c r="G5" s="9" t="s">
        <v>143</v>
      </c>
      <c r="H5" s="14"/>
      <c r="I5" s="13"/>
      <c r="J5" s="13"/>
      <c r="K5" s="13"/>
      <c r="L5" s="14"/>
    </row>
    <row r="6" spans="1:12" ht="60" customHeight="1" x14ac:dyDescent="0.3">
      <c r="A6" s="8" t="s">
        <v>144</v>
      </c>
      <c r="B6" s="8" t="s">
        <v>138</v>
      </c>
      <c r="C6" s="9" t="s">
        <v>145</v>
      </c>
      <c r="D6" s="9" t="s">
        <v>140</v>
      </c>
      <c r="E6" s="9" t="s">
        <v>146</v>
      </c>
      <c r="F6" s="9" t="s">
        <v>147</v>
      </c>
      <c r="G6" s="9" t="s">
        <v>148</v>
      </c>
      <c r="H6" s="14"/>
      <c r="I6" s="13"/>
      <c r="J6" s="13"/>
      <c r="K6" s="13"/>
      <c r="L6" s="14"/>
    </row>
    <row r="7" spans="1:12" ht="60" customHeight="1" x14ac:dyDescent="0.3">
      <c r="A7" s="8" t="s">
        <v>149</v>
      </c>
      <c r="B7" s="8" t="s">
        <v>150</v>
      </c>
      <c r="C7" s="9" t="s">
        <v>151</v>
      </c>
      <c r="D7" s="9" t="s">
        <v>152</v>
      </c>
      <c r="E7" s="9" t="s">
        <v>153</v>
      </c>
      <c r="F7" s="9" t="s">
        <v>154</v>
      </c>
      <c r="G7" s="9" t="s">
        <v>155</v>
      </c>
      <c r="H7" s="14"/>
      <c r="I7" s="13"/>
      <c r="J7" s="13"/>
      <c r="K7" s="13"/>
      <c r="L7" s="14"/>
    </row>
    <row r="8" spans="1:12" ht="60" customHeight="1" x14ac:dyDescent="0.3">
      <c r="A8" s="8" t="s">
        <v>156</v>
      </c>
      <c r="B8" s="8" t="s">
        <v>120</v>
      </c>
      <c r="C8" s="9" t="s">
        <v>157</v>
      </c>
      <c r="D8" s="9" t="s">
        <v>158</v>
      </c>
      <c r="E8" s="9" t="s">
        <v>159</v>
      </c>
      <c r="F8" s="9" t="s">
        <v>160</v>
      </c>
      <c r="G8" s="9" t="s">
        <v>161</v>
      </c>
      <c r="H8" s="14"/>
      <c r="I8" s="13"/>
      <c r="J8" s="13"/>
      <c r="K8" s="13"/>
      <c r="L8" s="14"/>
    </row>
    <row r="9" spans="1:12" ht="60" customHeight="1" x14ac:dyDescent="0.3">
      <c r="A9" s="8" t="s">
        <v>162</v>
      </c>
      <c r="B9" s="8" t="s">
        <v>163</v>
      </c>
      <c r="C9" s="9" t="s">
        <v>164</v>
      </c>
      <c r="D9" s="9" t="s">
        <v>165</v>
      </c>
      <c r="E9" s="9" t="s">
        <v>166</v>
      </c>
      <c r="F9" s="9" t="s">
        <v>167</v>
      </c>
      <c r="G9" s="9" t="s">
        <v>168</v>
      </c>
      <c r="H9" s="14"/>
      <c r="I9" s="13"/>
      <c r="J9" s="13"/>
      <c r="K9" s="13"/>
      <c r="L9" s="14"/>
    </row>
    <row r="10" spans="1:12" ht="39.75" customHeight="1" x14ac:dyDescent="0.3">
      <c r="A10" s="12"/>
      <c r="B10" s="12"/>
      <c r="C10" s="12"/>
      <c r="D10" s="12"/>
      <c r="E10" s="12"/>
      <c r="F10" s="12"/>
      <c r="G10" s="12"/>
      <c r="H10" s="17"/>
      <c r="I10" s="17"/>
      <c r="J10" s="17"/>
      <c r="K10" s="17"/>
      <c r="L10" s="17"/>
    </row>
    <row r="11" spans="1:12" ht="39.75" customHeight="1" x14ac:dyDescent="0.3">
      <c r="A11" s="12"/>
      <c r="B11" s="12"/>
      <c r="C11" s="12"/>
      <c r="D11" s="12"/>
      <c r="E11" s="12"/>
      <c r="F11" s="12"/>
      <c r="G11" s="12"/>
      <c r="H11" s="17"/>
      <c r="I11" s="17"/>
      <c r="J11" s="17"/>
      <c r="K11" s="17"/>
      <c r="L11" s="17"/>
    </row>
    <row r="12" spans="1:12" ht="39.75" customHeight="1" x14ac:dyDescent="0.3">
      <c r="A12" s="12"/>
      <c r="B12" s="12"/>
      <c r="C12" s="12"/>
      <c r="D12" s="12"/>
      <c r="E12" s="12"/>
      <c r="F12" s="12"/>
      <c r="G12" s="12"/>
      <c r="H12" s="17"/>
      <c r="I12" s="17"/>
      <c r="J12" s="17"/>
      <c r="K12" s="17"/>
      <c r="L12" s="17"/>
    </row>
    <row r="13" spans="1:12" ht="39.75" customHeight="1" x14ac:dyDescent="0.3">
      <c r="A13" s="12"/>
      <c r="B13" s="12"/>
      <c r="C13" s="12"/>
      <c r="D13" s="12"/>
      <c r="E13" s="12"/>
      <c r="F13" s="12"/>
      <c r="G13" s="12"/>
      <c r="H13" s="17"/>
      <c r="I13" s="17"/>
      <c r="J13" s="17"/>
      <c r="K13" s="17"/>
      <c r="L13" s="17"/>
    </row>
    <row r="14" spans="1:12" ht="39.75" customHeight="1" x14ac:dyDescent="0.3">
      <c r="A14" s="12"/>
      <c r="B14" s="12"/>
      <c r="C14" s="12"/>
      <c r="D14" s="12"/>
      <c r="E14" s="12"/>
      <c r="F14" s="12"/>
      <c r="G14" s="12"/>
      <c r="H14" s="17"/>
      <c r="I14" s="17"/>
      <c r="J14" s="17"/>
      <c r="K14" s="17"/>
      <c r="L14" s="17"/>
    </row>
    <row r="15" spans="1:12" ht="39.75" customHeight="1" x14ac:dyDescent="0.3">
      <c r="A15" s="12"/>
      <c r="B15" s="12"/>
      <c r="C15" s="12"/>
      <c r="D15" s="12"/>
      <c r="E15" s="12"/>
      <c r="F15" s="12"/>
      <c r="G15" s="12"/>
      <c r="H15" s="17"/>
      <c r="I15" s="17"/>
      <c r="J15" s="17"/>
      <c r="K15" s="17"/>
      <c r="L15" s="17"/>
    </row>
    <row r="16" spans="1:12" x14ac:dyDescent="0.3">
      <c r="H16" s="18"/>
      <c r="I16" s="18"/>
      <c r="J16" s="18"/>
      <c r="K16" s="18"/>
      <c r="L16" s="18"/>
    </row>
    <row r="17" spans="8:12" x14ac:dyDescent="0.3">
      <c r="H17" s="18"/>
      <c r="I17" s="18"/>
      <c r="J17" s="18"/>
      <c r="K17" s="18"/>
      <c r="L17" s="18"/>
    </row>
    <row r="18" spans="8:12" x14ac:dyDescent="0.3">
      <c r="H18" s="18"/>
      <c r="I18" s="18"/>
      <c r="J18" s="18"/>
      <c r="K18" s="18"/>
      <c r="L18" s="18"/>
    </row>
    <row r="19" spans="8:12" x14ac:dyDescent="0.3">
      <c r="H19" s="18"/>
      <c r="I19" s="18"/>
      <c r="J19" s="18"/>
      <c r="K19" s="18"/>
      <c r="L19" s="18"/>
    </row>
  </sheetData>
  <mergeCells count="2">
    <mergeCell ref="A1:L1"/>
    <mergeCell ref="A2:L2"/>
  </mergeCells>
  <dataValidations count="1">
    <dataValidation type="list" allowBlank="1" sqref="I5:I15" xr:uid="{00000000-0002-0000-0600-000000000000}">
      <formula1>"Pass,Fail,Not Tested"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4"/>
  <sheetViews>
    <sheetView showGridLines="0" zoomScaleNormal="100" workbookViewId="0">
      <pane ySplit="4" topLeftCell="A10" activePane="bottomLeft" state="frozen"/>
      <selection pane="bottomLeft" activeCell="F10" sqref="F10:J14"/>
    </sheetView>
  </sheetViews>
  <sheetFormatPr defaultColWidth="8.6640625" defaultRowHeight="14.4" x14ac:dyDescent="0.3"/>
  <cols>
    <col min="1" max="1" width="12" customWidth="1"/>
    <col min="2" max="2" width="24" customWidth="1"/>
    <col min="3" max="3" width="20" customWidth="1"/>
    <col min="4" max="4" width="30" customWidth="1"/>
    <col min="5" max="6" width="26" customWidth="1"/>
    <col min="7" max="7" width="10" customWidth="1"/>
    <col min="8" max="8" width="14" customWidth="1"/>
    <col min="9" max="9" width="12" customWidth="1"/>
    <col min="10" max="10" width="24" customWidth="1"/>
  </cols>
  <sheetData>
    <row r="1" spans="1:10" ht="17.399999999999999" x14ac:dyDescent="0.3">
      <c r="A1" s="19" t="s">
        <v>19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x14ac:dyDescent="0.3">
      <c r="A2" s="20" t="s">
        <v>243</v>
      </c>
      <c r="B2" s="20"/>
      <c r="C2" s="20"/>
      <c r="D2" s="20"/>
      <c r="E2" s="20"/>
      <c r="F2" s="20"/>
      <c r="G2" s="20"/>
      <c r="H2" s="20"/>
      <c r="I2" s="20"/>
      <c r="J2" s="20"/>
    </row>
    <row r="4" spans="1:10" ht="30" customHeight="1" x14ac:dyDescent="0.3">
      <c r="A4" s="1" t="s">
        <v>25</v>
      </c>
      <c r="B4" s="1" t="s">
        <v>64</v>
      </c>
      <c r="C4" s="1" t="s">
        <v>65</v>
      </c>
      <c r="D4" s="1" t="s">
        <v>66</v>
      </c>
      <c r="E4" s="1" t="s">
        <v>67</v>
      </c>
      <c r="F4" s="1" t="s">
        <v>68</v>
      </c>
      <c r="G4" s="1" t="s">
        <v>33</v>
      </c>
      <c r="H4" s="1" t="s">
        <v>34</v>
      </c>
      <c r="I4" s="1" t="s">
        <v>35</v>
      </c>
      <c r="J4" s="1" t="s">
        <v>69</v>
      </c>
    </row>
    <row r="5" spans="1:10" ht="49.5" customHeight="1" x14ac:dyDescent="0.3">
      <c r="A5" s="8" t="s">
        <v>169</v>
      </c>
      <c r="B5" s="9" t="s">
        <v>71</v>
      </c>
      <c r="C5" s="9" t="s">
        <v>170</v>
      </c>
      <c r="D5" s="9" t="s">
        <v>73</v>
      </c>
      <c r="E5" s="9" t="s">
        <v>74</v>
      </c>
      <c r="F5" s="10"/>
      <c r="G5" s="11"/>
      <c r="H5" s="11"/>
      <c r="I5" s="11"/>
      <c r="J5" s="10"/>
    </row>
    <row r="6" spans="1:10" ht="49.5" customHeight="1" x14ac:dyDescent="0.3">
      <c r="A6" s="8" t="s">
        <v>171</v>
      </c>
      <c r="B6" s="9" t="s">
        <v>76</v>
      </c>
      <c r="C6" s="9" t="s">
        <v>170</v>
      </c>
      <c r="D6" s="9" t="s">
        <v>73</v>
      </c>
      <c r="E6" s="9" t="s">
        <v>74</v>
      </c>
      <c r="F6" s="10"/>
      <c r="G6" s="11"/>
      <c r="H6" s="11"/>
      <c r="I6" s="11"/>
      <c r="J6" s="10"/>
    </row>
    <row r="7" spans="1:10" ht="49.5" customHeight="1" x14ac:dyDescent="0.3">
      <c r="A7" s="8" t="s">
        <v>172</v>
      </c>
      <c r="B7" s="9" t="s">
        <v>78</v>
      </c>
      <c r="C7" s="9" t="s">
        <v>170</v>
      </c>
      <c r="D7" s="9" t="s">
        <v>73</v>
      </c>
      <c r="E7" s="9" t="s">
        <v>74</v>
      </c>
      <c r="F7" s="10"/>
      <c r="G7" s="11"/>
      <c r="H7" s="11"/>
      <c r="I7" s="11"/>
      <c r="J7" s="10"/>
    </row>
    <row r="8" spans="1:10" ht="49.5" customHeight="1" x14ac:dyDescent="0.3">
      <c r="A8" s="8" t="s">
        <v>173</v>
      </c>
      <c r="B8" s="9" t="s">
        <v>80</v>
      </c>
      <c r="C8" s="9" t="s">
        <v>170</v>
      </c>
      <c r="D8" s="9" t="s">
        <v>73</v>
      </c>
      <c r="E8" s="9" t="s">
        <v>74</v>
      </c>
      <c r="F8" s="10"/>
      <c r="G8" s="11"/>
      <c r="H8" s="11"/>
      <c r="I8" s="11"/>
      <c r="J8" s="10"/>
    </row>
    <row r="9" spans="1:10" ht="49.5" customHeight="1" x14ac:dyDescent="0.3">
      <c r="A9" s="8" t="s">
        <v>174</v>
      </c>
      <c r="B9" s="9" t="s">
        <v>82</v>
      </c>
      <c r="C9" s="9" t="s">
        <v>170</v>
      </c>
      <c r="D9" s="9" t="s">
        <v>73</v>
      </c>
      <c r="E9" s="9" t="s">
        <v>74</v>
      </c>
      <c r="F9" s="10"/>
      <c r="G9" s="11"/>
      <c r="H9" s="11"/>
      <c r="I9" s="11"/>
      <c r="J9" s="10"/>
    </row>
    <row r="10" spans="1:10" ht="49.5" customHeight="1" x14ac:dyDescent="0.3">
      <c r="A10" s="8" t="s">
        <v>175</v>
      </c>
      <c r="B10" s="9" t="s">
        <v>84</v>
      </c>
      <c r="C10" s="9" t="s">
        <v>170</v>
      </c>
      <c r="D10" s="9" t="s">
        <v>73</v>
      </c>
      <c r="E10" s="9" t="s">
        <v>74</v>
      </c>
      <c r="F10" s="14"/>
      <c r="G10" s="13"/>
      <c r="H10" s="13"/>
      <c r="I10" s="13"/>
      <c r="J10" s="14"/>
    </row>
    <row r="11" spans="1:10" ht="49.5" customHeight="1" x14ac:dyDescent="0.3">
      <c r="A11" s="8" t="s">
        <v>176</v>
      </c>
      <c r="B11" s="9" t="s">
        <v>86</v>
      </c>
      <c r="C11" s="9" t="s">
        <v>170</v>
      </c>
      <c r="D11" s="9" t="s">
        <v>73</v>
      </c>
      <c r="E11" s="9" t="s">
        <v>74</v>
      </c>
      <c r="F11" s="14"/>
      <c r="G11" s="13"/>
      <c r="H11" s="13"/>
      <c r="I11" s="13"/>
      <c r="J11" s="14"/>
    </row>
    <row r="12" spans="1:10" ht="49.5" customHeight="1" x14ac:dyDescent="0.3">
      <c r="A12" s="8" t="s">
        <v>177</v>
      </c>
      <c r="B12" s="9" t="s">
        <v>88</v>
      </c>
      <c r="C12" s="9" t="s">
        <v>170</v>
      </c>
      <c r="D12" s="9" t="s">
        <v>73</v>
      </c>
      <c r="E12" s="9" t="s">
        <v>74</v>
      </c>
      <c r="F12" s="14"/>
      <c r="G12" s="13"/>
      <c r="H12" s="13"/>
      <c r="I12" s="13"/>
      <c r="J12" s="14"/>
    </row>
    <row r="13" spans="1:10" ht="49.5" customHeight="1" x14ac:dyDescent="0.3">
      <c r="A13" s="8" t="s">
        <v>178</v>
      </c>
      <c r="B13" s="9" t="s">
        <v>90</v>
      </c>
      <c r="C13" s="9" t="s">
        <v>170</v>
      </c>
      <c r="D13" s="9" t="s">
        <v>73</v>
      </c>
      <c r="E13" s="9" t="s">
        <v>74</v>
      </c>
      <c r="F13" s="14"/>
      <c r="G13" s="13"/>
      <c r="H13" s="13"/>
      <c r="I13" s="13"/>
      <c r="J13" s="14"/>
    </row>
    <row r="14" spans="1:10" ht="49.5" customHeight="1" x14ac:dyDescent="0.3">
      <c r="A14" s="8" t="s">
        <v>179</v>
      </c>
      <c r="B14" s="9" t="s">
        <v>92</v>
      </c>
      <c r="C14" s="9" t="s">
        <v>170</v>
      </c>
      <c r="D14" s="9" t="s">
        <v>73</v>
      </c>
      <c r="E14" s="9" t="s">
        <v>74</v>
      </c>
      <c r="F14" s="14"/>
      <c r="G14" s="13"/>
      <c r="H14" s="13"/>
      <c r="I14" s="13"/>
      <c r="J14" s="14"/>
    </row>
  </sheetData>
  <mergeCells count="2">
    <mergeCell ref="A1:J1"/>
    <mergeCell ref="A2:J2"/>
  </mergeCells>
  <dataValidations count="1">
    <dataValidation type="list" allowBlank="1" sqref="G5:G14" xr:uid="{00000000-0002-0000-0700-000000000000}">
      <formula1>"Pass,Fail,Partial"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4"/>
  <sheetViews>
    <sheetView showGridLines="0" topLeftCell="D1" zoomScaleNormal="100" workbookViewId="0">
      <pane ySplit="4" topLeftCell="A9" activePane="bottomLeft" state="frozen"/>
      <selection pane="bottomLeft" activeCell="H5" sqref="H5:L14"/>
    </sheetView>
  </sheetViews>
  <sheetFormatPr defaultColWidth="8.6640625" defaultRowHeight="14.4" x14ac:dyDescent="0.3"/>
  <cols>
    <col min="1" max="1" width="12" customWidth="1"/>
    <col min="2" max="2" width="14" customWidth="1"/>
    <col min="3" max="3" width="26" customWidth="1"/>
    <col min="4" max="4" width="18" customWidth="1"/>
    <col min="5" max="5" width="30" customWidth="1"/>
    <col min="6" max="6" width="18" customWidth="1"/>
    <col min="7" max="8" width="26" customWidth="1"/>
    <col min="9" max="9" width="10" customWidth="1"/>
    <col min="10" max="10" width="14" customWidth="1"/>
    <col min="11" max="11" width="12" customWidth="1"/>
    <col min="12" max="12" width="22" customWidth="1"/>
  </cols>
  <sheetData>
    <row r="1" spans="1:12" ht="17.399999999999999" x14ac:dyDescent="0.3">
      <c r="A1" s="19" t="s">
        <v>20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x14ac:dyDescent="0.3">
      <c r="A2" s="20" t="s">
        <v>244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4" spans="1:12" ht="30" customHeight="1" x14ac:dyDescent="0.3">
      <c r="A4" s="1" t="s">
        <v>25</v>
      </c>
      <c r="B4" s="1" t="s">
        <v>26</v>
      </c>
      <c r="C4" s="1" t="s">
        <v>27</v>
      </c>
      <c r="D4" s="1" t="s">
        <v>28</v>
      </c>
      <c r="E4" s="1" t="s">
        <v>29</v>
      </c>
      <c r="F4" s="1" t="s">
        <v>30</v>
      </c>
      <c r="G4" s="1" t="s">
        <v>31</v>
      </c>
      <c r="H4" s="1" t="s">
        <v>32</v>
      </c>
      <c r="I4" s="1" t="s">
        <v>33</v>
      </c>
      <c r="J4" s="1" t="s">
        <v>34</v>
      </c>
      <c r="K4" s="1" t="s">
        <v>35</v>
      </c>
      <c r="L4" s="1" t="s">
        <v>36</v>
      </c>
    </row>
    <row r="5" spans="1:12" ht="60" customHeight="1" x14ac:dyDescent="0.3">
      <c r="A5" s="8" t="s">
        <v>180</v>
      </c>
      <c r="B5" s="8" t="s">
        <v>181</v>
      </c>
      <c r="C5" s="9" t="s">
        <v>182</v>
      </c>
      <c r="D5" s="9" t="s">
        <v>183</v>
      </c>
      <c r="E5" s="9" t="s">
        <v>184</v>
      </c>
      <c r="F5" s="9" t="s">
        <v>167</v>
      </c>
      <c r="G5" s="9" t="s">
        <v>185</v>
      </c>
      <c r="H5" s="14"/>
      <c r="I5" s="13"/>
      <c r="J5" s="13"/>
      <c r="K5" s="13"/>
      <c r="L5" s="14"/>
    </row>
    <row r="6" spans="1:12" ht="60" customHeight="1" x14ac:dyDescent="0.3">
      <c r="A6" s="8" t="s">
        <v>186</v>
      </c>
      <c r="B6" s="8" t="s">
        <v>181</v>
      </c>
      <c r="C6" s="9" t="s">
        <v>187</v>
      </c>
      <c r="D6" s="9" t="s">
        <v>188</v>
      </c>
      <c r="E6" s="9" t="s">
        <v>189</v>
      </c>
      <c r="F6" s="9" t="s">
        <v>167</v>
      </c>
      <c r="G6" s="9" t="s">
        <v>190</v>
      </c>
      <c r="H6" s="14"/>
      <c r="I6" s="13"/>
      <c r="J6" s="13"/>
      <c r="K6" s="13"/>
      <c r="L6" s="14"/>
    </row>
    <row r="7" spans="1:12" ht="60" customHeight="1" x14ac:dyDescent="0.3">
      <c r="A7" s="8" t="s">
        <v>191</v>
      </c>
      <c r="B7" s="8" t="s">
        <v>181</v>
      </c>
      <c r="C7" s="9" t="s">
        <v>192</v>
      </c>
      <c r="D7" s="9" t="s">
        <v>193</v>
      </c>
      <c r="E7" s="9" t="s">
        <v>194</v>
      </c>
      <c r="F7" s="9" t="s">
        <v>167</v>
      </c>
      <c r="G7" s="9" t="s">
        <v>195</v>
      </c>
      <c r="H7" s="14"/>
      <c r="I7" s="13"/>
      <c r="J7" s="13"/>
      <c r="K7" s="13"/>
      <c r="L7" s="14"/>
    </row>
    <row r="8" spans="1:12" ht="60" customHeight="1" x14ac:dyDescent="0.3">
      <c r="A8" s="8" t="s">
        <v>196</v>
      </c>
      <c r="B8" s="8" t="s">
        <v>197</v>
      </c>
      <c r="C8" s="9" t="s">
        <v>198</v>
      </c>
      <c r="D8" s="9" t="s">
        <v>199</v>
      </c>
      <c r="E8" s="9" t="s">
        <v>200</v>
      </c>
      <c r="F8" s="9" t="s">
        <v>167</v>
      </c>
      <c r="G8" s="9" t="s">
        <v>201</v>
      </c>
      <c r="H8" s="14"/>
      <c r="I8" s="13"/>
      <c r="J8" s="13"/>
      <c r="K8" s="13"/>
      <c r="L8" s="14"/>
    </row>
    <row r="9" spans="1:12" ht="39.75" customHeight="1" x14ac:dyDescent="0.3">
      <c r="A9" s="12"/>
      <c r="B9" s="12"/>
      <c r="C9" s="12"/>
      <c r="D9" s="12"/>
      <c r="E9" s="12"/>
      <c r="F9" s="12"/>
      <c r="G9" s="12"/>
      <c r="H9" s="17"/>
      <c r="I9" s="17"/>
      <c r="J9" s="17"/>
      <c r="K9" s="17"/>
      <c r="L9" s="17"/>
    </row>
    <row r="10" spans="1:12" ht="39.75" customHeight="1" x14ac:dyDescent="0.3">
      <c r="A10" s="12"/>
      <c r="B10" s="12"/>
      <c r="C10" s="12"/>
      <c r="D10" s="12"/>
      <c r="E10" s="12"/>
      <c r="F10" s="12"/>
      <c r="G10" s="12"/>
      <c r="H10" s="17"/>
      <c r="I10" s="17"/>
      <c r="J10" s="17"/>
      <c r="K10" s="17"/>
      <c r="L10" s="17"/>
    </row>
    <row r="11" spans="1:12" ht="39.75" customHeight="1" x14ac:dyDescent="0.3">
      <c r="A11" s="12"/>
      <c r="B11" s="12"/>
      <c r="C11" s="12"/>
      <c r="D11" s="12"/>
      <c r="E11" s="12"/>
      <c r="F11" s="12"/>
      <c r="G11" s="12"/>
      <c r="H11" s="17"/>
      <c r="I11" s="17"/>
      <c r="J11" s="17"/>
      <c r="K11" s="17"/>
      <c r="L11" s="17"/>
    </row>
    <row r="12" spans="1:12" ht="39.75" customHeight="1" x14ac:dyDescent="0.3">
      <c r="A12" s="12"/>
      <c r="B12" s="12"/>
      <c r="C12" s="12"/>
      <c r="D12" s="12"/>
      <c r="E12" s="12"/>
      <c r="F12" s="12"/>
      <c r="G12" s="12"/>
      <c r="H12" s="17"/>
      <c r="I12" s="17"/>
      <c r="J12" s="17"/>
      <c r="K12" s="17"/>
      <c r="L12" s="17"/>
    </row>
    <row r="13" spans="1:12" ht="39.75" customHeight="1" x14ac:dyDescent="0.3">
      <c r="A13" s="12"/>
      <c r="B13" s="12"/>
      <c r="C13" s="12"/>
      <c r="D13" s="12"/>
      <c r="E13" s="12"/>
      <c r="F13" s="12"/>
      <c r="G13" s="12"/>
      <c r="H13" s="17"/>
      <c r="I13" s="17"/>
      <c r="J13" s="17"/>
      <c r="K13" s="17"/>
      <c r="L13" s="17"/>
    </row>
    <row r="14" spans="1:12" ht="39.75" customHeight="1" x14ac:dyDescent="0.3">
      <c r="A14" s="12"/>
      <c r="B14" s="12"/>
      <c r="C14" s="12"/>
      <c r="D14" s="12"/>
      <c r="E14" s="12"/>
      <c r="F14" s="12"/>
      <c r="G14" s="12"/>
      <c r="H14" s="17"/>
      <c r="I14" s="17"/>
      <c r="J14" s="17"/>
      <c r="K14" s="17"/>
      <c r="L14" s="17"/>
    </row>
  </sheetData>
  <mergeCells count="2">
    <mergeCell ref="A1:L1"/>
    <mergeCell ref="A2:L2"/>
  </mergeCells>
  <dataValidations count="1">
    <dataValidation type="list" allowBlank="1" sqref="I5:I14" xr:uid="{00000000-0002-0000-0800-000000000000}">
      <formula1>"Pass,Fail,Not Tested"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4"/>
  <sheetViews>
    <sheetView showGridLines="0" topLeftCell="D1" zoomScaleNormal="100" workbookViewId="0">
      <pane ySplit="4" topLeftCell="A9" activePane="bottomLeft" state="frozen"/>
      <selection pane="bottomLeft" activeCell="H5" sqref="H5:L14"/>
    </sheetView>
  </sheetViews>
  <sheetFormatPr defaultColWidth="8.6640625" defaultRowHeight="14.4" x14ac:dyDescent="0.3"/>
  <cols>
    <col min="1" max="1" width="12" customWidth="1"/>
    <col min="2" max="2" width="14" customWidth="1"/>
    <col min="3" max="3" width="26" customWidth="1"/>
    <col min="4" max="4" width="18" customWidth="1"/>
    <col min="5" max="5" width="30" customWidth="1"/>
    <col min="6" max="6" width="18" customWidth="1"/>
    <col min="7" max="8" width="26" customWidth="1"/>
    <col min="9" max="9" width="10" customWidth="1"/>
    <col min="10" max="10" width="14" customWidth="1"/>
    <col min="11" max="11" width="12" customWidth="1"/>
    <col min="12" max="12" width="22" customWidth="1"/>
  </cols>
  <sheetData>
    <row r="1" spans="1:12" ht="17.399999999999999" x14ac:dyDescent="0.3">
      <c r="A1" s="19" t="s">
        <v>21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x14ac:dyDescent="0.3">
      <c r="A2" s="20" t="s">
        <v>245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4" spans="1:12" ht="30" customHeight="1" x14ac:dyDescent="0.3">
      <c r="A4" s="1" t="s">
        <v>25</v>
      </c>
      <c r="B4" s="1" t="s">
        <v>26</v>
      </c>
      <c r="C4" s="1" t="s">
        <v>27</v>
      </c>
      <c r="D4" s="1" t="s">
        <v>28</v>
      </c>
      <c r="E4" s="1" t="s">
        <v>29</v>
      </c>
      <c r="F4" s="1" t="s">
        <v>30</v>
      </c>
      <c r="G4" s="1" t="s">
        <v>31</v>
      </c>
      <c r="H4" s="1" t="s">
        <v>32</v>
      </c>
      <c r="I4" s="1" t="s">
        <v>33</v>
      </c>
      <c r="J4" s="1" t="s">
        <v>34</v>
      </c>
      <c r="K4" s="1" t="s">
        <v>35</v>
      </c>
      <c r="L4" s="1" t="s">
        <v>36</v>
      </c>
    </row>
    <row r="5" spans="1:12" ht="60" customHeight="1" x14ac:dyDescent="0.3">
      <c r="A5" s="8" t="s">
        <v>202</v>
      </c>
      <c r="B5" s="8" t="s">
        <v>163</v>
      </c>
      <c r="C5" s="9" t="s">
        <v>203</v>
      </c>
      <c r="D5" s="9" t="s">
        <v>204</v>
      </c>
      <c r="E5" s="9" t="s">
        <v>205</v>
      </c>
      <c r="F5" s="9" t="s">
        <v>167</v>
      </c>
      <c r="G5" s="9" t="s">
        <v>206</v>
      </c>
      <c r="H5" s="14"/>
      <c r="I5" s="13"/>
      <c r="J5" s="13"/>
      <c r="K5" s="13"/>
      <c r="L5" s="14"/>
    </row>
    <row r="6" spans="1:12" ht="60" customHeight="1" x14ac:dyDescent="0.3">
      <c r="A6" s="8" t="s">
        <v>207</v>
      </c>
      <c r="B6" s="8" t="s">
        <v>163</v>
      </c>
      <c r="C6" s="9" t="s">
        <v>208</v>
      </c>
      <c r="D6" s="9" t="s">
        <v>209</v>
      </c>
      <c r="E6" s="9" t="s">
        <v>210</v>
      </c>
      <c r="F6" s="9" t="s">
        <v>167</v>
      </c>
      <c r="G6" s="9" t="s">
        <v>211</v>
      </c>
      <c r="H6" s="14"/>
      <c r="I6" s="13"/>
      <c r="J6" s="13"/>
      <c r="K6" s="13"/>
      <c r="L6" s="14"/>
    </row>
    <row r="7" spans="1:12" ht="60" customHeight="1" x14ac:dyDescent="0.3">
      <c r="A7" s="8" t="s">
        <v>212</v>
      </c>
      <c r="B7" s="8" t="s">
        <v>213</v>
      </c>
      <c r="C7" s="9" t="s">
        <v>214</v>
      </c>
      <c r="D7" s="9" t="s">
        <v>215</v>
      </c>
      <c r="E7" s="9" t="s">
        <v>216</v>
      </c>
      <c r="F7" s="9" t="s">
        <v>167</v>
      </c>
      <c r="G7" s="9" t="s">
        <v>217</v>
      </c>
      <c r="H7" s="14"/>
      <c r="I7" s="13"/>
      <c r="J7" s="13"/>
      <c r="K7" s="13"/>
      <c r="L7" s="14"/>
    </row>
    <row r="8" spans="1:12" ht="60" customHeight="1" x14ac:dyDescent="0.3">
      <c r="A8" s="8" t="s">
        <v>218</v>
      </c>
      <c r="B8" s="8" t="s">
        <v>219</v>
      </c>
      <c r="C8" s="9" t="s">
        <v>220</v>
      </c>
      <c r="D8" s="9" t="s">
        <v>221</v>
      </c>
      <c r="E8" s="9" t="s">
        <v>222</v>
      </c>
      <c r="F8" s="9" t="s">
        <v>167</v>
      </c>
      <c r="G8" s="9" t="s">
        <v>223</v>
      </c>
      <c r="H8" s="14"/>
      <c r="I8" s="13"/>
      <c r="J8" s="13"/>
      <c r="K8" s="13"/>
      <c r="L8" s="14"/>
    </row>
    <row r="9" spans="1:12" ht="39.75" customHeight="1" x14ac:dyDescent="0.3">
      <c r="A9" s="12"/>
      <c r="B9" s="12"/>
      <c r="C9" s="12"/>
      <c r="D9" s="12"/>
      <c r="E9" s="12"/>
      <c r="F9" s="12"/>
      <c r="G9" s="12"/>
      <c r="H9" s="17"/>
      <c r="I9" s="17"/>
      <c r="J9" s="17"/>
      <c r="K9" s="17"/>
      <c r="L9" s="17"/>
    </row>
    <row r="10" spans="1:12" ht="39.75" customHeight="1" x14ac:dyDescent="0.3">
      <c r="A10" s="12"/>
      <c r="B10" s="12"/>
      <c r="C10" s="12"/>
      <c r="D10" s="12"/>
      <c r="E10" s="12"/>
      <c r="F10" s="12"/>
      <c r="G10" s="12"/>
      <c r="H10" s="17"/>
      <c r="I10" s="17"/>
      <c r="J10" s="17"/>
      <c r="K10" s="17"/>
      <c r="L10" s="17"/>
    </row>
    <row r="11" spans="1:12" ht="39.75" customHeight="1" x14ac:dyDescent="0.3">
      <c r="A11" s="12"/>
      <c r="B11" s="12"/>
      <c r="C11" s="12"/>
      <c r="D11" s="12"/>
      <c r="E11" s="12"/>
      <c r="F11" s="12"/>
      <c r="G11" s="12"/>
      <c r="H11" s="17"/>
      <c r="I11" s="17"/>
      <c r="J11" s="17"/>
      <c r="K11" s="17"/>
      <c r="L11" s="17"/>
    </row>
    <row r="12" spans="1:12" ht="39.75" customHeight="1" x14ac:dyDescent="0.3">
      <c r="A12" s="12"/>
      <c r="B12" s="12"/>
      <c r="C12" s="12"/>
      <c r="D12" s="12"/>
      <c r="E12" s="12"/>
      <c r="F12" s="12"/>
      <c r="G12" s="12"/>
      <c r="H12" s="17"/>
      <c r="I12" s="17"/>
      <c r="J12" s="17"/>
      <c r="K12" s="17"/>
      <c r="L12" s="17"/>
    </row>
    <row r="13" spans="1:12" ht="39.75" customHeight="1" x14ac:dyDescent="0.3">
      <c r="A13" s="12"/>
      <c r="B13" s="12"/>
      <c r="C13" s="12"/>
      <c r="D13" s="12"/>
      <c r="E13" s="12"/>
      <c r="F13" s="12"/>
      <c r="G13" s="12"/>
      <c r="H13" s="17"/>
      <c r="I13" s="17"/>
      <c r="J13" s="17"/>
      <c r="K13" s="17"/>
      <c r="L13" s="17"/>
    </row>
    <row r="14" spans="1:12" ht="39.75" customHeight="1" x14ac:dyDescent="0.3">
      <c r="A14" s="12"/>
      <c r="B14" s="12"/>
      <c r="C14" s="12"/>
      <c r="D14" s="12"/>
      <c r="E14" s="12"/>
      <c r="F14" s="12"/>
      <c r="G14" s="12"/>
      <c r="H14" s="17"/>
      <c r="I14" s="17"/>
      <c r="J14" s="17"/>
      <c r="K14" s="17"/>
      <c r="L14" s="17"/>
    </row>
  </sheetData>
  <mergeCells count="2">
    <mergeCell ref="A1:L1"/>
    <mergeCell ref="A2:L2"/>
  </mergeCells>
  <dataValidations count="1">
    <dataValidation type="list" allowBlank="1" sqref="I5:I14" xr:uid="{00000000-0002-0000-0900-000000000000}">
      <formula1>"Pass,Fail,Not Tested"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4"/>
  <sheetViews>
    <sheetView showGridLines="0" zoomScaleNormal="100" workbookViewId="0">
      <pane ySplit="4" topLeftCell="A5" activePane="bottomLeft" state="frozen"/>
      <selection pane="bottomLeft" activeCell="F5" sqref="F5:J14"/>
    </sheetView>
  </sheetViews>
  <sheetFormatPr defaultColWidth="8.6640625" defaultRowHeight="14.4" x14ac:dyDescent="0.3"/>
  <cols>
    <col min="1" max="1" width="12" customWidth="1"/>
    <col min="2" max="2" width="24" customWidth="1"/>
    <col min="3" max="3" width="20" customWidth="1"/>
    <col min="4" max="4" width="30" customWidth="1"/>
    <col min="5" max="6" width="26" customWidth="1"/>
    <col min="7" max="7" width="10" customWidth="1"/>
    <col min="8" max="8" width="14" customWidth="1"/>
    <col min="9" max="9" width="12" customWidth="1"/>
    <col min="10" max="10" width="24" customWidth="1"/>
  </cols>
  <sheetData>
    <row r="1" spans="1:10" ht="17.399999999999999" x14ac:dyDescent="0.3">
      <c r="A1" s="19" t="s">
        <v>22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x14ac:dyDescent="0.3">
      <c r="A2" s="20" t="s">
        <v>246</v>
      </c>
      <c r="B2" s="20"/>
      <c r="C2" s="20"/>
      <c r="D2" s="20"/>
      <c r="E2" s="20"/>
      <c r="F2" s="20"/>
      <c r="G2" s="20"/>
      <c r="H2" s="20"/>
      <c r="I2" s="20"/>
      <c r="J2" s="20"/>
    </row>
    <row r="4" spans="1:10" ht="30" customHeight="1" x14ac:dyDescent="0.3">
      <c r="A4" s="1" t="s">
        <v>25</v>
      </c>
      <c r="B4" s="1" t="s">
        <v>64</v>
      </c>
      <c r="C4" s="1" t="s">
        <v>65</v>
      </c>
      <c r="D4" s="1" t="s">
        <v>66</v>
      </c>
      <c r="E4" s="1" t="s">
        <v>67</v>
      </c>
      <c r="F4" s="1" t="s">
        <v>68</v>
      </c>
      <c r="G4" s="1" t="s">
        <v>33</v>
      </c>
      <c r="H4" s="1" t="s">
        <v>34</v>
      </c>
      <c r="I4" s="1" t="s">
        <v>35</v>
      </c>
      <c r="J4" s="1" t="s">
        <v>69</v>
      </c>
    </row>
    <row r="5" spans="1:10" ht="49.5" customHeight="1" x14ac:dyDescent="0.3">
      <c r="A5" s="8" t="s">
        <v>224</v>
      </c>
      <c r="B5" s="9" t="s">
        <v>71</v>
      </c>
      <c r="C5" s="9" t="s">
        <v>225</v>
      </c>
      <c r="D5" s="9" t="s">
        <v>73</v>
      </c>
      <c r="E5" s="9" t="s">
        <v>74</v>
      </c>
      <c r="F5" s="14"/>
      <c r="G5" s="13"/>
      <c r="H5" s="13"/>
      <c r="I5" s="13"/>
      <c r="J5" s="14"/>
    </row>
    <row r="6" spans="1:10" ht="49.5" customHeight="1" x14ac:dyDescent="0.3">
      <c r="A6" s="8" t="s">
        <v>226</v>
      </c>
      <c r="B6" s="9" t="s">
        <v>76</v>
      </c>
      <c r="C6" s="9" t="s">
        <v>225</v>
      </c>
      <c r="D6" s="9" t="s">
        <v>73</v>
      </c>
      <c r="E6" s="9" t="s">
        <v>74</v>
      </c>
      <c r="F6" s="14"/>
      <c r="G6" s="13"/>
      <c r="H6" s="13"/>
      <c r="I6" s="13"/>
      <c r="J6" s="14"/>
    </row>
    <row r="7" spans="1:10" ht="49.5" customHeight="1" x14ac:dyDescent="0.3">
      <c r="A7" s="8" t="s">
        <v>227</v>
      </c>
      <c r="B7" s="9" t="s">
        <v>78</v>
      </c>
      <c r="C7" s="9" t="s">
        <v>225</v>
      </c>
      <c r="D7" s="9" t="s">
        <v>73</v>
      </c>
      <c r="E7" s="9" t="s">
        <v>74</v>
      </c>
      <c r="F7" s="14"/>
      <c r="G7" s="13"/>
      <c r="H7" s="13"/>
      <c r="I7" s="13"/>
      <c r="J7" s="14"/>
    </row>
    <row r="8" spans="1:10" ht="49.5" customHeight="1" x14ac:dyDescent="0.3">
      <c r="A8" s="8" t="s">
        <v>228</v>
      </c>
      <c r="B8" s="9" t="s">
        <v>80</v>
      </c>
      <c r="C8" s="9" t="s">
        <v>225</v>
      </c>
      <c r="D8" s="9" t="s">
        <v>73</v>
      </c>
      <c r="E8" s="9" t="s">
        <v>74</v>
      </c>
      <c r="F8" s="14"/>
      <c r="G8" s="13"/>
      <c r="H8" s="13"/>
      <c r="I8" s="13"/>
      <c r="J8" s="14"/>
    </row>
    <row r="9" spans="1:10" ht="49.5" customHeight="1" x14ac:dyDescent="0.3">
      <c r="A9" s="8" t="s">
        <v>229</v>
      </c>
      <c r="B9" s="9" t="s">
        <v>82</v>
      </c>
      <c r="C9" s="9" t="s">
        <v>225</v>
      </c>
      <c r="D9" s="9" t="s">
        <v>73</v>
      </c>
      <c r="E9" s="9" t="s">
        <v>74</v>
      </c>
      <c r="F9" s="14"/>
      <c r="G9" s="13"/>
      <c r="H9" s="13"/>
      <c r="I9" s="13"/>
      <c r="J9" s="14"/>
    </row>
    <row r="10" spans="1:10" ht="49.5" customHeight="1" x14ac:dyDescent="0.3">
      <c r="A10" s="8" t="s">
        <v>230</v>
      </c>
      <c r="B10" s="9" t="s">
        <v>84</v>
      </c>
      <c r="C10" s="9" t="s">
        <v>225</v>
      </c>
      <c r="D10" s="9" t="s">
        <v>73</v>
      </c>
      <c r="E10" s="9" t="s">
        <v>74</v>
      </c>
      <c r="F10" s="14"/>
      <c r="G10" s="13"/>
      <c r="H10" s="13"/>
      <c r="I10" s="13"/>
      <c r="J10" s="14"/>
    </row>
    <row r="11" spans="1:10" ht="49.5" customHeight="1" x14ac:dyDescent="0.3">
      <c r="A11" s="8" t="s">
        <v>231</v>
      </c>
      <c r="B11" s="9" t="s">
        <v>86</v>
      </c>
      <c r="C11" s="9" t="s">
        <v>225</v>
      </c>
      <c r="D11" s="9" t="s">
        <v>73</v>
      </c>
      <c r="E11" s="9" t="s">
        <v>74</v>
      </c>
      <c r="F11" s="14"/>
      <c r="G11" s="13"/>
      <c r="H11" s="13"/>
      <c r="I11" s="13"/>
      <c r="J11" s="14"/>
    </row>
    <row r="12" spans="1:10" ht="49.5" customHeight="1" x14ac:dyDescent="0.3">
      <c r="A12" s="8" t="s">
        <v>232</v>
      </c>
      <c r="B12" s="9" t="s">
        <v>88</v>
      </c>
      <c r="C12" s="9" t="s">
        <v>225</v>
      </c>
      <c r="D12" s="9" t="s">
        <v>73</v>
      </c>
      <c r="E12" s="9" t="s">
        <v>74</v>
      </c>
      <c r="F12" s="14"/>
      <c r="G12" s="13"/>
      <c r="H12" s="13"/>
      <c r="I12" s="13"/>
      <c r="J12" s="14"/>
    </row>
    <row r="13" spans="1:10" ht="49.5" customHeight="1" x14ac:dyDescent="0.3">
      <c r="A13" s="8" t="s">
        <v>233</v>
      </c>
      <c r="B13" s="9" t="s">
        <v>90</v>
      </c>
      <c r="C13" s="9" t="s">
        <v>225</v>
      </c>
      <c r="D13" s="9" t="s">
        <v>73</v>
      </c>
      <c r="E13" s="9" t="s">
        <v>74</v>
      </c>
      <c r="F13" s="14"/>
      <c r="G13" s="13"/>
      <c r="H13" s="13"/>
      <c r="I13" s="13"/>
      <c r="J13" s="14"/>
    </row>
    <row r="14" spans="1:10" ht="49.5" customHeight="1" x14ac:dyDescent="0.3">
      <c r="A14" s="8" t="s">
        <v>234</v>
      </c>
      <c r="B14" s="9" t="s">
        <v>92</v>
      </c>
      <c r="C14" s="9" t="s">
        <v>225</v>
      </c>
      <c r="D14" s="9" t="s">
        <v>73</v>
      </c>
      <c r="E14" s="9" t="s">
        <v>74</v>
      </c>
      <c r="F14" s="14"/>
      <c r="G14" s="13"/>
      <c r="H14" s="13"/>
      <c r="I14" s="13"/>
      <c r="J14" s="14"/>
    </row>
  </sheetData>
  <mergeCells count="2">
    <mergeCell ref="A1:J1"/>
    <mergeCell ref="A2:J2"/>
  </mergeCells>
  <dataValidations count="1">
    <dataValidation type="list" allowBlank="1" sqref="G5:G14" xr:uid="{00000000-0002-0000-0A00-000000000000}">
      <formula1>"Pass,Fail,Partial"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Instructions</vt:lpstr>
      <vt:lpstr>Results Summary</vt:lpstr>
      <vt:lpstr>Iteration 1 Unit</vt:lpstr>
      <vt:lpstr>Iteration 1 Usability</vt:lpstr>
      <vt:lpstr>Iteration 2 Unit</vt:lpstr>
      <vt:lpstr>Iteration 2 Usability</vt:lpstr>
      <vt:lpstr>Iteration 3 Unit</vt:lpstr>
      <vt:lpstr>Iteration 3 Usability</vt:lpstr>
      <vt:lpstr>System Test - Functionality</vt:lpstr>
      <vt:lpstr>System Test - Performance</vt:lpstr>
      <vt:lpstr>System Test - Usability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Katlego Mosoma</cp:lastModifiedBy>
  <cp:revision>0</cp:revision>
  <dcterms:created xsi:type="dcterms:W3CDTF">2026-09-01T22:09:23Z</dcterms:created>
  <dcterms:modified xsi:type="dcterms:W3CDTF">2026-09-09T08:33:47Z</dcterms:modified>
  <dc:language>en-US</dc:language>
</cp:coreProperties>
</file>